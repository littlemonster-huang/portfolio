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黄科斌\Desktop\奶茶小程序\"/>
    </mc:Choice>
  </mc:AlternateContent>
  <bookViews>
    <workbookView windowWidth="23040" windowHeight="9060" activeTab="1"/>
  </bookViews>
  <sheets>
    <sheet name="销售统计对比" sheetId="1" r:id="rId1"/>
    <sheet name="数据透视表" sheetId="3" r:id="rId2"/>
    <sheet name="填表说明" sheetId="2" r:id="rId3"/>
  </sheets>
  <definedNames>
    <definedName name="_xlnm._FilterDatabase" localSheetId="0" hidden="1">销售统计对比!$A$2:$S$39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黄科斌</author>
  </authors>
  <commentList>
    <comment ref="J3" authorId="0">
      <text>
        <r>
          <rPr>
            <sz val="10"/>
            <rFont val="宋体"/>
            <charset val="134"/>
          </rPr>
          <t>买三送一实收6元
（原价8元×3/4）</t>
        </r>
      </text>
    </comment>
    <comment ref="K3" authorId="0">
      <text>
        <r>
          <rPr>
            <sz val="10"/>
            <rFont val="宋体"/>
            <charset val="134"/>
          </rPr>
          <t>买三送一实收6元
（原价8元×3/4）</t>
        </r>
      </text>
    </comment>
    <comment ref="L3" authorId="0">
      <text>
        <r>
          <rPr>
            <sz val="10"/>
            <rFont val="宋体"/>
            <charset val="134"/>
          </rPr>
          <t>买三送一实收6元
（原价8元×3/4）</t>
        </r>
      </text>
    </comment>
  </commentList>
</comments>
</file>

<file path=xl/sharedStrings.xml><?xml version="1.0" encoding="utf-8"?>
<sst xmlns="http://schemas.openxmlformats.org/spreadsheetml/2006/main" count="174" uniqueCount="81">
  <si>
    <t>茶之都门店饮品销售统计（2025年1月 - 2月）</t>
  </si>
  <si>
    <t>序号</t>
  </si>
  <si>
    <t>饮品名称</t>
  </si>
  <si>
    <t>单价（元）</t>
  </si>
  <si>
    <t>类型</t>
  </si>
  <si>
    <t>1月上半月销量（杯）
1.1–1.15</t>
  </si>
  <si>
    <t>1月下半月销量（杯）
1.16–1.31</t>
  </si>
  <si>
    <t>2月上半月销量（杯）
2.1–2.15</t>
  </si>
  <si>
    <t>2月下半月销量（杯）
2.16–2.28</t>
  </si>
  <si>
    <t>1月上半月销售额（元）</t>
  </si>
  <si>
    <t>1月下半月销售额（元）</t>
  </si>
  <si>
    <t>2月上半月销售额（元）</t>
  </si>
  <si>
    <t>2月下半月销售额（元）</t>
  </si>
  <si>
    <t>1月销量合计（杯）</t>
  </si>
  <si>
    <t>1月销售额合计（元）</t>
  </si>
  <si>
    <t>2月销量合计（杯）</t>
  </si>
  <si>
    <t>2月销售额合计（元）</t>
  </si>
  <si>
    <t>销量环比</t>
  </si>
  <si>
    <t>销售额环比</t>
  </si>
  <si>
    <t>备注</t>
  </si>
  <si>
    <t>茉上花开</t>
  </si>
  <si>
    <t>新品</t>
  </si>
  <si>
    <t>新品（1.13提出促销方案、1.16起执行"买三送一"促销至2月底；1月下半月起销售额按实收口径计算，实收单价=原价×3/4）</t>
  </si>
  <si>
    <t>丛声杏香</t>
  </si>
  <si>
    <t>翠枝奶茉</t>
  </si>
  <si>
    <t>布蕾啵啵奶茶</t>
  </si>
  <si>
    <t>常规</t>
  </si>
  <si>
    <t/>
  </si>
  <si>
    <t>手炒黑糖珍珠红玉鲜奶茶</t>
  </si>
  <si>
    <t>手炒黑糖珍珠绿研鲜奶茶</t>
  </si>
  <si>
    <t>手炒黑糖珍珠乌龙鲜奶茶</t>
  </si>
  <si>
    <t>生椰黑糖珍珠</t>
  </si>
  <si>
    <t>现蒸芋圆芋泥红玉鲜奶茶</t>
  </si>
  <si>
    <t>现蒸芋圆芋泥茉莉鲜奶茶</t>
  </si>
  <si>
    <t>现蒸芋圆芋泥乌龙鲜奶茶</t>
  </si>
  <si>
    <t>现蒸芋泥青稞红玉鲜奶茶</t>
  </si>
  <si>
    <t>生椰芋圆芋泥</t>
  </si>
  <si>
    <t>芋泥啵啵鲜奶</t>
  </si>
  <si>
    <t>杨枝甘露</t>
  </si>
  <si>
    <t>草莓酸奶啵啵</t>
  </si>
  <si>
    <t>都市烤奶</t>
  </si>
  <si>
    <t>茉莉烤奶</t>
  </si>
  <si>
    <t>有料烤奶（椰果/红豆/布丁）</t>
  </si>
  <si>
    <t>招牌烧仙草</t>
  </si>
  <si>
    <t>清爽柠檬汁</t>
  </si>
  <si>
    <t>鸭屎香柠檬茶</t>
  </si>
  <si>
    <t>西柠绿茶</t>
  </si>
  <si>
    <t>老盐柠檬茶</t>
  </si>
  <si>
    <t>鲜柠檬养乐多</t>
  </si>
  <si>
    <t>金桔柠檬汁</t>
  </si>
  <si>
    <t>鲜榨西瓜汁</t>
  </si>
  <si>
    <t>爆芒百香果</t>
  </si>
  <si>
    <t>超级水果茶</t>
  </si>
  <si>
    <t>红玉茗茶</t>
  </si>
  <si>
    <t>茉莉绿茶</t>
  </si>
  <si>
    <t>碳焙乌龙茶</t>
  </si>
  <si>
    <t>卡布奇诺</t>
  </si>
  <si>
    <t>芝士红玉奶盖茶</t>
  </si>
  <si>
    <t>芝士茉莉奶盖茶</t>
  </si>
  <si>
    <t>芝士乌龙奶盖茶</t>
  </si>
  <si>
    <t>合计</t>
  </si>
  <si>
    <t>品类月度销量汇总（新品 vs 常规）</t>
  </si>
  <si>
    <t xml:space="preserve"> 1月销量（杯）</t>
  </si>
  <si>
    <t xml:space="preserve"> 2月销量（杯）</t>
  </si>
  <si>
    <t>总计</t>
  </si>
  <si>
    <t>平均单款1月销量（杯）</t>
  </si>
  <si>
    <t>平均单款2月销量（杯）</t>
  </si>
  <si>
    <t xml:space="preserve"> 1月销售额（元）</t>
  </si>
  <si>
    <t xml:space="preserve"> 2月销售额（元）</t>
  </si>
  <si>
    <t>2月单品销量排行</t>
  </si>
  <si>
    <t>品类销量占比（1月）</t>
  </si>
  <si>
    <t>项目</t>
  </si>
  <si>
    <t>说明</t>
  </si>
  <si>
    <t>背景事实</t>
  </si>
  <si>
    <t>该门店位于乡镇，此前没有用 Excel 统计销量的习惯和先例，本表用于观察相对趋势与结构变化（环比、占比、品类分布）。</t>
  </si>
  <si>
    <t>数据来源</t>
  </si>
  <si>
    <t>本表为该门店第一套标准化销量统计台账。受门店纸质账单保存周期限制，2025 年 1‑2 月原始纸质营业单据已无法调取；在店长许可与核实下，结合门店现场留存的营业碎片信息，按 15 天为一个统计周期，分 4 个周期还原重建 36 款饮品的销售数据。</t>
  </si>
  <si>
    <t>统计周期</t>
  </si>
  <si>
    <t>每 15 天一个统计周期：1 月上半月（1.1–1.15）、1 月下半月（1.16–1.31）、2 月上半月（2.1–2.15）、2 月下半月（2.16–2.28）。</t>
  </si>
  <si>
    <t>销量走势</t>
  </si>
  <si>
    <t>1 月上半月基础销售平稳，核心单品半月收入约 6000 元；1 月中旬海报宣发后各单品全线上涨，「茉上花开」成为爆款（单日峰值超 50 杯），半月收入接近 1 万元；2 月春节后整体小幅回落，2 月下旬收入约 8000 元，「茉上花开」仍维持高位。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</si>
</sst>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3" formatCode="_ * #,##0.00_ ;_ * \-#,##0.00_ ;_ * &quot;-&quot;??_ ;_ @_ "/>
    <numFmt numFmtId="176" formatCode="_ \¥* #,##0.00_ ;_ \¥* \-#,##0.00_ ;_ \¥* &quot;-&quot;??_ ;_ @_ "/>
    <numFmt numFmtId="177" formatCode="_ \¥* #,##0_ ;_ \¥* \-#,##0_ ;_ \¥* &quot;-&quot;_ ;_ @_ "/>
    <numFmt numFmtId="178" formatCode="\¥#,##0"/>
    <numFmt numFmtId="179" formatCode="0.0%"/>
  </numFmts>
  <fonts count="28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4"/>
      <color rgb="FFFFFFFF"/>
      <name val="宋体"/>
      <charset val="134"/>
      <scheme val="minor"/>
    </font>
    <font>
      <b/>
      <sz val="10"/>
      <color rgb="FFFFFFFF"/>
      <name val="宋体"/>
      <charset val="134"/>
      <scheme val="minor"/>
    </font>
    <font>
      <sz val="10"/>
      <color rgb="FF666666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FFF2CC"/>
        <bgColor rgb="FFFFF2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176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177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6" borderId="2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3">
      <alignment vertical="center"/>
    </xf>
    <xf numFmtId="0" fontId="14" fillId="0" borderId="3">
      <alignment vertical="center"/>
    </xf>
    <xf numFmtId="0" fontId="15" fillId="0" borderId="4">
      <alignment vertical="center"/>
    </xf>
    <xf numFmtId="0" fontId="15" fillId="0" borderId="0">
      <alignment vertical="center"/>
    </xf>
    <xf numFmtId="0" fontId="16" fillId="7" borderId="5">
      <alignment vertical="center"/>
    </xf>
    <xf numFmtId="0" fontId="17" fillId="8" borderId="6">
      <alignment vertical="center"/>
    </xf>
    <xf numFmtId="0" fontId="18" fillId="8" borderId="5">
      <alignment vertical="center"/>
    </xf>
    <xf numFmtId="0" fontId="19" fillId="9" borderId="7">
      <alignment vertical="center"/>
    </xf>
    <xf numFmtId="0" fontId="20" fillId="0" borderId="8">
      <alignment vertical="center"/>
    </xf>
    <xf numFmtId="0" fontId="21" fillId="0" borderId="9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5" fillId="13" borderId="0">
      <alignment vertical="center"/>
    </xf>
    <xf numFmtId="0" fontId="26" fillId="14" borderId="0">
      <alignment vertical="center"/>
    </xf>
    <xf numFmtId="0" fontId="26" fillId="15" borderId="0">
      <alignment vertical="center"/>
    </xf>
    <xf numFmtId="0" fontId="25" fillId="16" borderId="0">
      <alignment vertical="center"/>
    </xf>
    <xf numFmtId="0" fontId="25" fillId="17" borderId="0">
      <alignment vertical="center"/>
    </xf>
    <xf numFmtId="0" fontId="26" fillId="18" borderId="0">
      <alignment vertical="center"/>
    </xf>
    <xf numFmtId="0" fontId="26" fillId="19" borderId="0">
      <alignment vertical="center"/>
    </xf>
    <xf numFmtId="0" fontId="25" fillId="20" borderId="0">
      <alignment vertical="center"/>
    </xf>
    <xf numFmtId="0" fontId="25" fillId="21" borderId="0">
      <alignment vertical="center"/>
    </xf>
    <xf numFmtId="0" fontId="26" fillId="22" borderId="0">
      <alignment vertical="center"/>
    </xf>
    <xf numFmtId="0" fontId="26" fillId="23" borderId="0">
      <alignment vertical="center"/>
    </xf>
    <xf numFmtId="0" fontId="25" fillId="24" borderId="0">
      <alignment vertical="center"/>
    </xf>
    <xf numFmtId="0" fontId="25" fillId="25" borderId="0">
      <alignment vertical="center"/>
    </xf>
    <xf numFmtId="0" fontId="26" fillId="26" borderId="0">
      <alignment vertical="center"/>
    </xf>
    <xf numFmtId="0" fontId="26" fillId="27" borderId="0">
      <alignment vertical="center"/>
    </xf>
    <xf numFmtId="0" fontId="25" fillId="28" borderId="0">
      <alignment vertical="center"/>
    </xf>
    <xf numFmtId="0" fontId="25" fillId="29" borderId="0">
      <alignment vertical="center"/>
    </xf>
    <xf numFmtId="0" fontId="26" fillId="30" borderId="0">
      <alignment vertical="center"/>
    </xf>
    <xf numFmtId="0" fontId="26" fillId="31" borderId="0">
      <alignment vertical="center"/>
    </xf>
    <xf numFmtId="0" fontId="25" fillId="32" borderId="0">
      <alignment vertical="center"/>
    </xf>
    <xf numFmtId="0" fontId="25" fillId="33" borderId="0">
      <alignment vertical="center"/>
    </xf>
    <xf numFmtId="0" fontId="26" fillId="34" borderId="0">
      <alignment vertical="center"/>
    </xf>
    <xf numFmtId="0" fontId="26" fillId="35" borderId="0">
      <alignment vertical="center"/>
    </xf>
    <xf numFmtId="0" fontId="25" fillId="36" borderId="0">
      <alignment vertical="center"/>
    </xf>
  </cellStyleXfs>
  <cellXfs count="26">
    <xf numFmtId="0" fontId="0" fillId="0" borderId="0" xfId="0" applyAlignment="1">
      <alignment vertical="center"/>
    </xf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left" vertical="top" wrapText="1"/>
    </xf>
    <xf numFmtId="0" fontId="2" fillId="3" borderId="0" xfId="0" applyFont="1" applyFill="1" applyAlignment="1">
      <alignment horizont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0" fontId="0" fillId="0" borderId="0" xfId="0" applyNumberFormat="1" applyAlignment="1">
      <alignment vertical="center"/>
    </xf>
    <xf numFmtId="0" fontId="5" fillId="4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178" fontId="0" fillId="0" borderId="1" xfId="0" applyNumberFormat="1" applyBorder="1" applyAlignment="1">
      <alignment horizontal="right"/>
    </xf>
    <xf numFmtId="1" fontId="0" fillId="3" borderId="1" xfId="0" applyNumberFormat="1" applyFill="1" applyBorder="1" applyAlignment="1">
      <alignment horizontal="right"/>
    </xf>
    <xf numFmtId="178" fontId="0" fillId="0" borderId="1" xfId="0" applyNumberFormat="1" applyBorder="1"/>
    <xf numFmtId="178" fontId="0" fillId="5" borderId="1" xfId="0" applyNumberFormat="1" applyFill="1" applyBorder="1"/>
    <xf numFmtId="1" fontId="0" fillId="0" borderId="1" xfId="0" applyNumberFormat="1" applyBorder="1"/>
    <xf numFmtId="179" fontId="0" fillId="0" borderId="1" xfId="0" applyNumberFormat="1" applyBorder="1" applyAlignment="1">
      <alignment horizontal="right"/>
    </xf>
    <xf numFmtId="0" fontId="7" fillId="5" borderId="1" xfId="0" applyFont="1" applyFill="1" applyBorder="1" applyAlignment="1">
      <alignment horizontal="left" wrapText="1"/>
    </xf>
    <xf numFmtId="0" fontId="7" fillId="0" borderId="1" xfId="0" applyFont="1" applyBorder="1" applyAlignment="1">
      <alignment horizontal="left" wrapText="1"/>
    </xf>
    <xf numFmtId="0" fontId="1" fillId="4" borderId="1" xfId="0" applyFont="1" applyFill="1" applyBorder="1"/>
    <xf numFmtId="1" fontId="1" fillId="4" borderId="1" xfId="0" applyNumberFormat="1" applyFont="1" applyFill="1" applyBorder="1" applyAlignment="1">
      <alignment horizontal="right"/>
    </xf>
    <xf numFmtId="178" fontId="1" fillId="4" borderId="1" xfId="0" applyNumberFormat="1" applyFont="1" applyFill="1" applyBorder="1" applyAlignment="1">
      <alignment horizontal="right"/>
    </xf>
    <xf numFmtId="179" fontId="1" fillId="4" borderId="1" xfId="0" applyNumberFormat="1" applyFont="1" applyFill="1" applyBorder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font>
        <b val="1"/>
        <color rgb="FF006100"/>
      </font>
    </dxf>
    <dxf>
      <font>
        <b val="1"/>
        <color rgb="FF9C0006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[茶之都2025年1-2月饮品销售统计.xlsx]数据透视表!数据透视表1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品类月度销量对比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数据透视表!$B$3</c:f>
              <c:strCache>
                <c:ptCount val="1"/>
                <c:pt idx="0">
                  <c:v> 1月销量（杯）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数据透视表!$A$4:$A$6</c:f>
              <c:strCache>
                <c:ptCount val="2"/>
                <c:pt idx="0">
                  <c:v>常规</c:v>
                </c:pt>
                <c:pt idx="1">
                  <c:v>新品</c:v>
                </c:pt>
              </c:strCache>
            </c:strRef>
          </c:cat>
          <c:val>
            <c:numRef>
              <c:f>数据透视表!$B$4:$B$6</c:f>
              <c:numCache>
                <c:formatCode>General</c:formatCode>
                <c:ptCount val="2"/>
                <c:pt idx="0">
                  <c:v>1589</c:v>
                </c:pt>
                <c:pt idx="1">
                  <c:v>389</c:v>
                </c:pt>
              </c:numCache>
            </c:numRef>
          </c:val>
        </c:ser>
        <c:ser>
          <c:idx val="1"/>
          <c:order val="1"/>
          <c:tx>
            <c:strRef>
              <c:f>数据透视表!$C$3</c:f>
              <c:strCache>
                <c:ptCount val="1"/>
                <c:pt idx="0">
                  <c:v> 2月销量（杯）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数据透视表!$A$4:$A$6</c:f>
              <c:strCache>
                <c:ptCount val="2"/>
                <c:pt idx="0">
                  <c:v>常规</c:v>
                </c:pt>
                <c:pt idx="1">
                  <c:v>新品</c:v>
                </c:pt>
              </c:strCache>
            </c:strRef>
          </c:cat>
          <c:val>
            <c:numRef>
              <c:f>数据透视表!$C$4:$C$6</c:f>
              <c:numCache>
                <c:formatCode>General</c:formatCode>
                <c:ptCount val="2"/>
                <c:pt idx="0">
                  <c:v>1481</c:v>
                </c:pt>
                <c:pt idx="1">
                  <c:v>653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7888732"/>
        <c:axId val="641473224"/>
      </c:barChart>
      <c:catAx>
        <c:axId val="9078887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1473224"/>
        <c:crosses val="autoZero"/>
        <c:auto val="1"/>
        <c:lblAlgn val="ctr"/>
        <c:lblOffset val="100"/>
        <c:noMultiLvlLbl val="0"/>
      </c:catAx>
      <c:valAx>
        <c:axId val="641473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078887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[茶之都2025年1-2月饮品销售统计.xlsx]数据透视表!数据透视表3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</a:t>
            </a:r>
            <a:r>
              <a:rPr altLang="en-US"/>
              <a:t>月单品销量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数据透视表!$B$19</c:f>
              <c:strCache>
                <c:ptCount val="1"/>
                <c:pt idx="0">
                  <c:v>汇总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数据透视表!$A$20:$A$26</c:f>
              <c:strCache>
                <c:ptCount val="6"/>
                <c:pt idx="0">
                  <c:v>丛声杏香</c:v>
                </c:pt>
                <c:pt idx="1">
                  <c:v>翠枝奶茉</c:v>
                </c:pt>
                <c:pt idx="2">
                  <c:v>都市烤奶</c:v>
                </c:pt>
                <c:pt idx="3">
                  <c:v>茉上花开</c:v>
                </c:pt>
                <c:pt idx="4">
                  <c:v>杨枝甘露</c:v>
                </c:pt>
                <c:pt idx="5">
                  <c:v>招牌烧仙草</c:v>
                </c:pt>
              </c:strCache>
            </c:strRef>
          </c:cat>
          <c:val>
            <c:numRef>
              <c:f>数据透视表!$B$20:$B$26</c:f>
              <c:numCache>
                <c:formatCode>General</c:formatCode>
                <c:ptCount val="6"/>
                <c:pt idx="0">
                  <c:v>23</c:v>
                </c:pt>
                <c:pt idx="1">
                  <c:v>21</c:v>
                </c:pt>
                <c:pt idx="2">
                  <c:v>101</c:v>
                </c:pt>
                <c:pt idx="3">
                  <c:v>609</c:v>
                </c:pt>
                <c:pt idx="4">
                  <c:v>48</c:v>
                </c:pt>
                <c:pt idx="5">
                  <c:v>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7529243"/>
        <c:axId val="783181765"/>
      </c:barChart>
      <c:catAx>
        <c:axId val="4075292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83181765"/>
        <c:crosses val="autoZero"/>
        <c:auto val="1"/>
        <c:lblAlgn val="ctr"/>
        <c:lblOffset val="100"/>
        <c:noMultiLvlLbl val="0"/>
      </c:catAx>
      <c:valAx>
        <c:axId val="78318176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75292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142240</xdr:colOff>
      <xdr:row>0</xdr:row>
      <xdr:rowOff>17780</xdr:rowOff>
    </xdr:from>
    <xdr:to>
      <xdr:col>13</xdr:col>
      <xdr:colOff>91440</xdr:colOff>
      <xdr:row>15</xdr:row>
      <xdr:rowOff>17780</xdr:rowOff>
    </xdr:to>
    <xdr:graphicFrame>
      <xdr:nvGraphicFramePr>
        <xdr:cNvPr id="2" name="图表 1"/>
        <xdr:cNvGraphicFramePr/>
      </xdr:nvGraphicFramePr>
      <xdr:xfrm>
        <a:off x="7327900" y="1778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88900</xdr:colOff>
      <xdr:row>15</xdr:row>
      <xdr:rowOff>116840</xdr:rowOff>
    </xdr:from>
    <xdr:to>
      <xdr:col>14</xdr:col>
      <xdr:colOff>601980</xdr:colOff>
      <xdr:row>30</xdr:row>
      <xdr:rowOff>116840</xdr:rowOff>
    </xdr:to>
    <xdr:graphicFrame>
      <xdr:nvGraphicFramePr>
        <xdr:cNvPr id="3" name="图表 2"/>
        <xdr:cNvGraphicFramePr/>
      </xdr:nvGraphicFramePr>
      <xdr:xfrm>
        <a:off x="8493760" y="2860040"/>
        <a:ext cx="478028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317.8373148148" refreshedBy="黄科斌" recordCount="36">
  <cacheSource type="worksheet">
    <worksheetSource ref="B2:R38" sheet="销售统计对比"/>
  </cacheSource>
  <cacheFields count="17">
    <cacheField name="饮品名称" numFmtId="0">
      <sharedItems count="36">
        <s v="茉上花开"/>
        <s v="丛声杏香"/>
        <s v="翠枝奶茉"/>
        <s v="布蕾啵啵奶茶"/>
        <s v="手炒黑糖珍珠红玉鲜奶茶"/>
        <s v="手炒黑糖珍珠绿研鲜奶茶"/>
        <s v="手炒黑糖珍珠乌龙鲜奶茶"/>
        <s v="生椰黑糖珍珠"/>
        <s v="现蒸芋圆芋泥红玉鲜奶茶"/>
        <s v="现蒸芋圆芋泥茉莉鲜奶茶"/>
        <s v="现蒸芋圆芋泥乌龙鲜奶茶"/>
        <s v="现蒸芋泥青稞红玉鲜奶茶"/>
        <s v="生椰芋圆芋泥"/>
        <s v="芋泥啵啵鲜奶"/>
        <s v="杨枝甘露"/>
        <s v="草莓酸奶啵啵"/>
        <s v="都市烤奶"/>
        <s v="茉莉烤奶"/>
        <s v="有料烤奶（椰果/红豆/布丁）"/>
        <s v="招牌烧仙草"/>
        <s v="清爽柠檬汁"/>
        <s v="鸭屎香柠檬茶"/>
        <s v="西柠绿茶"/>
        <s v="老盐柠檬茶"/>
        <s v="鲜柠檬养乐多"/>
        <s v="金桔柠檬汁"/>
        <s v="鲜榨西瓜汁"/>
        <s v="爆芒百香果"/>
        <s v="超级水果茶"/>
        <s v="红玉茗茶"/>
        <s v="茉莉绿茶"/>
        <s v="碳焙乌龙茶"/>
        <s v="卡布奇诺"/>
        <s v="芝士红玉奶盖茶"/>
        <s v="芝士茉莉奶盖茶"/>
        <s v="芝士乌龙奶盖茶"/>
      </sharedItems>
    </cacheField>
    <cacheField name="单价（元）" numFmtId="178">
      <sharedItems containsSemiMixedTypes="0" containsString="0" containsNumber="1" containsInteger="1" minValue="4" maxValue="13" count="7">
        <n v="8"/>
        <n v="10"/>
        <n v="7"/>
        <n v="12"/>
        <n v="13"/>
        <n v="9"/>
        <n v="4"/>
      </sharedItems>
    </cacheField>
    <cacheField name="类型" numFmtId="0">
      <sharedItems count="2">
        <s v="新品"/>
        <s v="常规"/>
      </sharedItems>
    </cacheField>
    <cacheField name="1月上半月销量（杯）_x000a_1.1–1.15" numFmtId="1">
      <sharedItems containsSemiMixedTypes="0" containsString="0" containsNumber="1" containsInteger="1" minValue="8" maxValue="52" count="23">
        <n v="22"/>
        <n v="9"/>
        <n v="8"/>
        <n v="21"/>
        <n v="42"/>
        <n v="28"/>
        <n v="26"/>
        <n v="18"/>
        <n v="24"/>
        <n v="14"/>
        <n v="13"/>
        <n v="25"/>
        <n v="15"/>
        <n v="52"/>
        <n v="32"/>
        <n v="45"/>
        <n v="30"/>
        <n v="27"/>
        <n v="17"/>
        <n v="20"/>
        <n v="12"/>
        <n v="10"/>
        <n v="16"/>
      </sharedItems>
    </cacheField>
    <cacheField name="1月下半月销量（杯）_x000a_1.16–1.31" numFmtId="1">
      <sharedItems containsSemiMixedTypes="0" containsString="0" containsNumber="1" containsInteger="1" minValue="12" maxValue="324" count="23">
        <n v="324"/>
        <n v="14"/>
        <n v="12"/>
        <n v="22"/>
        <n v="47"/>
        <n v="32"/>
        <n v="30"/>
        <n v="24"/>
        <n v="26"/>
        <n v="25"/>
        <n v="20"/>
        <n v="18"/>
        <n v="27"/>
        <n v="19"/>
        <n v="58"/>
        <n v="35"/>
        <n v="49"/>
        <n v="34"/>
        <n v="31"/>
        <n v="23"/>
        <n v="15"/>
        <n v="33"/>
        <n v="13"/>
      </sharedItems>
    </cacheField>
    <cacheField name="2月上半月销量（杯）_x000a_2.1–2.15" numFmtId="1">
      <sharedItems containsSemiMixedTypes="0" containsString="0" containsNumber="1" containsInteger="1" minValue="10" maxValue="311" count="22">
        <n v="311"/>
        <n v="12"/>
        <n v="11"/>
        <n v="20"/>
        <n v="45"/>
        <n v="29"/>
        <n v="27"/>
        <n v="23"/>
        <n v="25"/>
        <n v="22"/>
        <n v="21"/>
        <n v="18"/>
        <n v="16"/>
        <n v="26"/>
        <n v="17"/>
        <n v="55"/>
        <n v="31"/>
        <n v="47"/>
        <n v="32"/>
        <n v="30"/>
        <n v="10"/>
        <n v="13"/>
      </sharedItems>
    </cacheField>
    <cacheField name="2月下半月销量（杯）_x000a_2.16–2.28" numFmtId="1">
      <sharedItems containsSemiMixedTypes="0" containsString="0" containsNumber="1" containsInteger="1" minValue="9" maxValue="298" count="20">
        <n v="298"/>
        <n v="11"/>
        <n v="10"/>
        <n v="17"/>
        <n v="38"/>
        <n v="26"/>
        <n v="24"/>
        <n v="19"/>
        <n v="22"/>
        <n v="20"/>
        <n v="15"/>
        <n v="46"/>
        <n v="28"/>
        <n v="39"/>
        <n v="25"/>
        <n v="18"/>
        <n v="16"/>
        <n v="9"/>
        <n v="12"/>
        <n v="14"/>
      </sharedItems>
    </cacheField>
    <cacheField name="1月上半月销售额（元）" numFmtId="178">
      <sharedItems containsSemiMixedTypes="0" containsString="0" containsNumber="1" containsInteger="1" minValue="64" maxValue="364" count="29">
        <n v="176"/>
        <n v="72"/>
        <n v="80"/>
        <n v="210"/>
        <n v="294"/>
        <n v="196"/>
        <n v="182"/>
        <n v="180"/>
        <n v="192"/>
        <n v="168"/>
        <n v="112"/>
        <n v="156"/>
        <n v="300"/>
        <n v="195"/>
        <n v="364"/>
        <n v="224"/>
        <n v="360"/>
        <n v="240"/>
        <n v="147"/>
        <n v="216"/>
        <n v="144"/>
        <n v="153"/>
        <n v="160"/>
        <n v="120"/>
        <n v="64"/>
        <n v="140"/>
        <n v="104"/>
        <n v="96"/>
        <n v="200"/>
      </sharedItems>
    </cacheField>
    <cacheField name="1月下半月销售额（元）" numFmtId="178">
      <sharedItems containsSemiMixedTypes="0" containsString="0" containsNumber="1" containsInteger="1" minValue="96" maxValue="1944" count="30">
        <n v="1944"/>
        <n v="112"/>
        <n v="120"/>
        <n v="220"/>
        <n v="329"/>
        <n v="224"/>
        <n v="210"/>
        <n v="240"/>
        <n v="208"/>
        <n v="200"/>
        <n v="192"/>
        <n v="160"/>
        <n v="216"/>
        <n v="324"/>
        <n v="247"/>
        <n v="406"/>
        <n v="245"/>
        <n v="392"/>
        <n v="272"/>
        <n v="168"/>
        <n v="248"/>
        <n v="184"/>
        <n v="198"/>
        <n v="152"/>
        <n v="96"/>
        <n v="180"/>
        <n v="150"/>
        <n v="132"/>
        <n v="100"/>
        <n v="104"/>
      </sharedItems>
    </cacheField>
    <cacheField name="2月上半月销售额（元）" numFmtId="178">
      <sharedItems containsSemiMixedTypes="0" containsString="0" containsNumber="1" containsInteger="1" minValue="80" maxValue="1866" count="28">
        <n v="1866"/>
        <n v="96"/>
        <n v="110"/>
        <n v="200"/>
        <n v="315"/>
        <n v="203"/>
        <n v="189"/>
        <n v="230"/>
        <n v="176"/>
        <n v="168"/>
        <n v="144"/>
        <n v="192"/>
        <n v="312"/>
        <n v="221"/>
        <n v="385"/>
        <n v="217"/>
        <n v="376"/>
        <n v="256"/>
        <n v="147"/>
        <n v="240"/>
        <n v="180"/>
        <n v="136"/>
        <n v="80"/>
        <n v="160"/>
        <n v="130"/>
        <n v="128"/>
        <n v="116"/>
        <n v="88"/>
      </sharedItems>
    </cacheField>
    <cacheField name="2月下半月销售额（元）" numFmtId="178">
      <sharedItems containsSemiMixedTypes="0" containsString="0" containsNumber="1" containsInteger="1" minValue="72" maxValue="1788" count="30">
        <n v="1788"/>
        <n v="88"/>
        <n v="100"/>
        <n v="170"/>
        <n v="266"/>
        <n v="182"/>
        <n v="168"/>
        <n v="190"/>
        <n v="176"/>
        <n v="160"/>
        <n v="152"/>
        <n v="136"/>
        <n v="180"/>
        <n v="264"/>
        <n v="195"/>
        <n v="322"/>
        <n v="196"/>
        <n v="312"/>
        <n v="208"/>
        <n v="133"/>
        <n v="200"/>
        <n v="162"/>
        <n v="128"/>
        <n v="72"/>
        <n v="150"/>
        <n v="120"/>
        <n v="112"/>
        <n v="96"/>
        <n v="80"/>
        <n v="140"/>
      </sharedItems>
    </cacheField>
    <cacheField name="1月销量合计（杯）" numFmtId="1">
      <sharedItems containsSemiMixedTypes="0" containsString="0" containsNumber="1" containsInteger="1" minValue="20" maxValue="346" count="25">
        <n v="346"/>
        <n v="23"/>
        <n v="20"/>
        <n v="43"/>
        <n v="89"/>
        <n v="60"/>
        <n v="56"/>
        <n v="42"/>
        <n v="50"/>
        <n v="47"/>
        <n v="45"/>
        <n v="34"/>
        <n v="31"/>
        <n v="32"/>
        <n v="52"/>
        <n v="110"/>
        <n v="67"/>
        <n v="94"/>
        <n v="64"/>
        <n v="58"/>
        <n v="41"/>
        <n v="39"/>
        <n v="27"/>
        <n v="59"/>
        <n v="54"/>
      </sharedItems>
    </cacheField>
    <cacheField name="1月销售额合计（元）" numFmtId="178">
      <sharedItems containsSemiMixedTypes="0" containsString="0" containsNumber="1" containsInteger="1" minValue="160" maxValue="2120" count="31">
        <n v="2120"/>
        <n v="184"/>
        <n v="200"/>
        <n v="430"/>
        <n v="623"/>
        <n v="420"/>
        <n v="392"/>
        <n v="400"/>
        <n v="376"/>
        <n v="360"/>
        <n v="272"/>
        <n v="372"/>
        <n v="384"/>
        <n v="624"/>
        <n v="442"/>
        <n v="770"/>
        <n v="469"/>
        <n v="752"/>
        <n v="512"/>
        <n v="315"/>
        <n v="464"/>
        <n v="328"/>
        <n v="351"/>
        <n v="344"/>
        <n v="160"/>
        <n v="320"/>
        <n v="270"/>
        <n v="236"/>
        <n v="216"/>
        <n v="180"/>
        <n v="340"/>
      </sharedItems>
    </cacheField>
    <cacheField name="2月销量合计（杯）" numFmtId="1">
      <sharedItems containsSemiMixedTypes="0" containsString="0" containsNumber="1" containsInteger="1" minValue="19" maxValue="609" count="25">
        <n v="609"/>
        <n v="23"/>
        <n v="21"/>
        <n v="37"/>
        <n v="83"/>
        <n v="55"/>
        <n v="51"/>
        <n v="42"/>
        <n v="47"/>
        <n v="40"/>
        <n v="35"/>
        <n v="31"/>
        <n v="48"/>
        <n v="32"/>
        <n v="101"/>
        <n v="59"/>
        <n v="86"/>
        <n v="58"/>
        <n v="38"/>
        <n v="33"/>
        <n v="19"/>
        <n v="25"/>
        <n v="60"/>
        <n v="53"/>
        <n v="30"/>
      </sharedItems>
    </cacheField>
    <cacheField name="2月销售额合计（元）" numFmtId="178">
      <sharedItems containsSemiMixedTypes="0" containsString="0" containsNumber="1" containsInteger="1" minValue="152" maxValue="3654" count="29">
        <n v="3654"/>
        <n v="184"/>
        <n v="210"/>
        <n v="370"/>
        <n v="581"/>
        <n v="385"/>
        <n v="357"/>
        <n v="420"/>
        <n v="376"/>
        <n v="336"/>
        <n v="320"/>
        <n v="280"/>
        <n v="372"/>
        <n v="576"/>
        <n v="416"/>
        <n v="707"/>
        <n v="413"/>
        <n v="688"/>
        <n v="464"/>
        <n v="440"/>
        <n v="342"/>
        <n v="264"/>
        <n v="152"/>
        <n v="310"/>
        <n v="250"/>
        <n v="240"/>
        <n v="212"/>
        <n v="168"/>
        <n v="300"/>
      </sharedItems>
    </cacheField>
    <cacheField name="销量环比" numFmtId="179">
      <sharedItems containsSemiMixedTypes="0" containsString="0" containsNumber="1" minValue="-0.13953488372093" maxValue="0.760115606936416" count="30">
        <n v="0.760115606936416"/>
        <n v="0"/>
        <n v="0.05"/>
        <n v="-0.13953488372093"/>
        <n v="-0.0674157303370787"/>
        <n v="-0.0833333333333334"/>
        <n v="-0.0892857142857143"/>
        <n v="-0.0600000000000001"/>
        <n v="-0.106382978723404"/>
        <n v="-0.111111111111111"/>
        <n v="0.0294117647058822"/>
        <n v="-0.03125"/>
        <n v="-0.0769230769230769"/>
        <n v="-0.0588235294117647"/>
        <n v="-0.0818181818181818"/>
        <n v="-0.119402985074627"/>
        <n v="-0.0851063829787234"/>
        <n v="-0.09375"/>
        <n v="-0.0517241379310345"/>
        <n v="-0.024390243902439"/>
        <n v="-0.0256410256410257"/>
        <n v="-0.0697674418604651"/>
        <n v="-0.0294117647058824"/>
        <n v="-0.05"/>
        <n v="-0.0740740740740741"/>
        <n v="0.0169491525423728"/>
        <n v="-0.0185185185185185"/>
        <n v="-0.0666666666666667"/>
        <n v="-0.119047619047619"/>
        <n v="-0.117647058823529"/>
      </sharedItems>
    </cacheField>
    <cacheField name="销售额环比" numFmtId="179">
      <sharedItems containsSemiMixedTypes="0" containsString="0" containsNumber="1" minValue="-0.13953488372093" maxValue="0.723584905660377" count="30">
        <n v="0.723584905660377"/>
        <n v="0"/>
        <n v="0.05"/>
        <n v="-0.13953488372093"/>
        <n v="-0.0674157303370787"/>
        <n v="-0.0833333333333334"/>
        <n v="-0.0892857142857143"/>
        <n v="-0.0600000000000001"/>
        <n v="-0.106382978723404"/>
        <n v="-0.111111111111111"/>
        <n v="0.0294117647058822"/>
        <n v="-0.03125"/>
        <n v="-0.0769230769230769"/>
        <n v="-0.0588235294117647"/>
        <n v="-0.0818181818181818"/>
        <n v="-0.119402985074627"/>
        <n v="-0.0851063829787234"/>
        <n v="-0.09375"/>
        <n v="-0.0517241379310345"/>
        <n v="-0.024390243902439"/>
        <n v="-0.0256410256410257"/>
        <n v="-0.0697674418604651"/>
        <n v="-0.0294117647058824"/>
        <n v="-0.05"/>
        <n v="-0.0740740740740741"/>
        <n v="0.0169491525423728"/>
        <n v="-0.0185185185185185"/>
        <n v="-0.0666666666666667"/>
        <n v="-0.119047619047619"/>
        <n v="-0.117647058823529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6"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0"/>
    <x v="1"/>
    <x v="1"/>
    <x v="1"/>
    <x v="1"/>
    <x v="1"/>
    <x v="1"/>
    <x v="1"/>
    <x v="1"/>
    <x v="1"/>
    <x v="1"/>
    <x v="1"/>
    <x v="1"/>
    <x v="1"/>
    <x v="1"/>
  </r>
  <r>
    <x v="2"/>
    <x v="1"/>
    <x v="0"/>
    <x v="2"/>
    <x v="2"/>
    <x v="2"/>
    <x v="2"/>
    <x v="2"/>
    <x v="2"/>
    <x v="2"/>
    <x v="2"/>
    <x v="2"/>
    <x v="2"/>
    <x v="2"/>
    <x v="2"/>
    <x v="2"/>
    <x v="2"/>
  </r>
  <r>
    <x v="3"/>
    <x v="1"/>
    <x v="1"/>
    <x v="3"/>
    <x v="3"/>
    <x v="3"/>
    <x v="3"/>
    <x v="3"/>
    <x v="3"/>
    <x v="3"/>
    <x v="3"/>
    <x v="3"/>
    <x v="3"/>
    <x v="3"/>
    <x v="3"/>
    <x v="3"/>
    <x v="3"/>
  </r>
  <r>
    <x v="4"/>
    <x v="2"/>
    <x v="1"/>
    <x v="4"/>
    <x v="4"/>
    <x v="4"/>
    <x v="4"/>
    <x v="4"/>
    <x v="4"/>
    <x v="4"/>
    <x v="4"/>
    <x v="4"/>
    <x v="4"/>
    <x v="4"/>
    <x v="4"/>
    <x v="4"/>
    <x v="4"/>
  </r>
  <r>
    <x v="5"/>
    <x v="2"/>
    <x v="1"/>
    <x v="5"/>
    <x v="5"/>
    <x v="5"/>
    <x v="5"/>
    <x v="5"/>
    <x v="5"/>
    <x v="5"/>
    <x v="5"/>
    <x v="5"/>
    <x v="5"/>
    <x v="5"/>
    <x v="5"/>
    <x v="5"/>
    <x v="5"/>
  </r>
  <r>
    <x v="6"/>
    <x v="2"/>
    <x v="1"/>
    <x v="6"/>
    <x v="6"/>
    <x v="6"/>
    <x v="6"/>
    <x v="6"/>
    <x v="6"/>
    <x v="6"/>
    <x v="6"/>
    <x v="6"/>
    <x v="6"/>
    <x v="6"/>
    <x v="6"/>
    <x v="6"/>
    <x v="6"/>
  </r>
  <r>
    <x v="7"/>
    <x v="1"/>
    <x v="1"/>
    <x v="7"/>
    <x v="7"/>
    <x v="7"/>
    <x v="7"/>
    <x v="7"/>
    <x v="7"/>
    <x v="7"/>
    <x v="7"/>
    <x v="7"/>
    <x v="5"/>
    <x v="7"/>
    <x v="7"/>
    <x v="1"/>
    <x v="1"/>
  </r>
  <r>
    <x v="8"/>
    <x v="0"/>
    <x v="1"/>
    <x v="8"/>
    <x v="8"/>
    <x v="8"/>
    <x v="8"/>
    <x v="8"/>
    <x v="8"/>
    <x v="3"/>
    <x v="8"/>
    <x v="8"/>
    <x v="7"/>
    <x v="8"/>
    <x v="8"/>
    <x v="7"/>
    <x v="7"/>
  </r>
  <r>
    <x v="9"/>
    <x v="0"/>
    <x v="1"/>
    <x v="0"/>
    <x v="9"/>
    <x v="9"/>
    <x v="9"/>
    <x v="0"/>
    <x v="9"/>
    <x v="8"/>
    <x v="9"/>
    <x v="9"/>
    <x v="8"/>
    <x v="7"/>
    <x v="9"/>
    <x v="8"/>
    <x v="8"/>
  </r>
  <r>
    <x v="10"/>
    <x v="0"/>
    <x v="1"/>
    <x v="3"/>
    <x v="7"/>
    <x v="10"/>
    <x v="7"/>
    <x v="9"/>
    <x v="10"/>
    <x v="9"/>
    <x v="10"/>
    <x v="10"/>
    <x v="9"/>
    <x v="9"/>
    <x v="10"/>
    <x v="9"/>
    <x v="9"/>
  </r>
  <r>
    <x v="11"/>
    <x v="0"/>
    <x v="1"/>
    <x v="9"/>
    <x v="10"/>
    <x v="11"/>
    <x v="3"/>
    <x v="10"/>
    <x v="11"/>
    <x v="10"/>
    <x v="11"/>
    <x v="11"/>
    <x v="10"/>
    <x v="10"/>
    <x v="11"/>
    <x v="10"/>
    <x v="10"/>
  </r>
  <r>
    <x v="12"/>
    <x v="3"/>
    <x v="1"/>
    <x v="10"/>
    <x v="11"/>
    <x v="12"/>
    <x v="10"/>
    <x v="11"/>
    <x v="12"/>
    <x v="11"/>
    <x v="12"/>
    <x v="12"/>
    <x v="11"/>
    <x v="11"/>
    <x v="12"/>
    <x v="1"/>
    <x v="1"/>
  </r>
  <r>
    <x v="13"/>
    <x v="3"/>
    <x v="1"/>
    <x v="9"/>
    <x v="11"/>
    <x v="12"/>
    <x v="10"/>
    <x v="9"/>
    <x v="12"/>
    <x v="11"/>
    <x v="12"/>
    <x v="13"/>
    <x v="12"/>
    <x v="11"/>
    <x v="12"/>
    <x v="11"/>
    <x v="11"/>
  </r>
  <r>
    <x v="14"/>
    <x v="3"/>
    <x v="1"/>
    <x v="11"/>
    <x v="12"/>
    <x v="13"/>
    <x v="8"/>
    <x v="12"/>
    <x v="13"/>
    <x v="12"/>
    <x v="13"/>
    <x v="14"/>
    <x v="13"/>
    <x v="12"/>
    <x v="13"/>
    <x v="12"/>
    <x v="12"/>
  </r>
  <r>
    <x v="15"/>
    <x v="4"/>
    <x v="1"/>
    <x v="12"/>
    <x v="13"/>
    <x v="14"/>
    <x v="10"/>
    <x v="13"/>
    <x v="14"/>
    <x v="13"/>
    <x v="14"/>
    <x v="11"/>
    <x v="14"/>
    <x v="13"/>
    <x v="14"/>
    <x v="13"/>
    <x v="13"/>
  </r>
  <r>
    <x v="16"/>
    <x v="2"/>
    <x v="1"/>
    <x v="13"/>
    <x v="14"/>
    <x v="15"/>
    <x v="11"/>
    <x v="14"/>
    <x v="15"/>
    <x v="14"/>
    <x v="15"/>
    <x v="15"/>
    <x v="15"/>
    <x v="14"/>
    <x v="15"/>
    <x v="14"/>
    <x v="14"/>
  </r>
  <r>
    <x v="17"/>
    <x v="2"/>
    <x v="1"/>
    <x v="14"/>
    <x v="15"/>
    <x v="16"/>
    <x v="12"/>
    <x v="15"/>
    <x v="16"/>
    <x v="15"/>
    <x v="16"/>
    <x v="16"/>
    <x v="16"/>
    <x v="15"/>
    <x v="16"/>
    <x v="15"/>
    <x v="15"/>
  </r>
  <r>
    <x v="18"/>
    <x v="0"/>
    <x v="1"/>
    <x v="15"/>
    <x v="16"/>
    <x v="17"/>
    <x v="13"/>
    <x v="16"/>
    <x v="17"/>
    <x v="16"/>
    <x v="17"/>
    <x v="17"/>
    <x v="17"/>
    <x v="16"/>
    <x v="17"/>
    <x v="16"/>
    <x v="16"/>
  </r>
  <r>
    <x v="19"/>
    <x v="0"/>
    <x v="1"/>
    <x v="16"/>
    <x v="17"/>
    <x v="18"/>
    <x v="5"/>
    <x v="17"/>
    <x v="18"/>
    <x v="17"/>
    <x v="18"/>
    <x v="18"/>
    <x v="18"/>
    <x v="17"/>
    <x v="18"/>
    <x v="17"/>
    <x v="17"/>
  </r>
  <r>
    <x v="20"/>
    <x v="2"/>
    <x v="1"/>
    <x v="3"/>
    <x v="7"/>
    <x v="10"/>
    <x v="7"/>
    <x v="18"/>
    <x v="19"/>
    <x v="18"/>
    <x v="19"/>
    <x v="10"/>
    <x v="19"/>
    <x v="9"/>
    <x v="11"/>
    <x v="9"/>
    <x v="9"/>
  </r>
  <r>
    <x v="21"/>
    <x v="0"/>
    <x v="1"/>
    <x v="17"/>
    <x v="18"/>
    <x v="19"/>
    <x v="14"/>
    <x v="19"/>
    <x v="20"/>
    <x v="19"/>
    <x v="20"/>
    <x v="19"/>
    <x v="20"/>
    <x v="5"/>
    <x v="19"/>
    <x v="18"/>
    <x v="18"/>
  </r>
  <r>
    <x v="22"/>
    <x v="0"/>
    <x v="1"/>
    <x v="7"/>
    <x v="19"/>
    <x v="10"/>
    <x v="7"/>
    <x v="20"/>
    <x v="21"/>
    <x v="9"/>
    <x v="10"/>
    <x v="20"/>
    <x v="21"/>
    <x v="9"/>
    <x v="10"/>
    <x v="19"/>
    <x v="19"/>
  </r>
  <r>
    <x v="23"/>
    <x v="5"/>
    <x v="1"/>
    <x v="18"/>
    <x v="3"/>
    <x v="3"/>
    <x v="15"/>
    <x v="21"/>
    <x v="22"/>
    <x v="20"/>
    <x v="21"/>
    <x v="21"/>
    <x v="22"/>
    <x v="18"/>
    <x v="20"/>
    <x v="20"/>
    <x v="20"/>
  </r>
  <r>
    <x v="24"/>
    <x v="0"/>
    <x v="1"/>
    <x v="19"/>
    <x v="19"/>
    <x v="10"/>
    <x v="7"/>
    <x v="22"/>
    <x v="21"/>
    <x v="9"/>
    <x v="10"/>
    <x v="3"/>
    <x v="23"/>
    <x v="9"/>
    <x v="10"/>
    <x v="21"/>
    <x v="21"/>
  </r>
  <r>
    <x v="25"/>
    <x v="0"/>
    <x v="1"/>
    <x v="12"/>
    <x v="13"/>
    <x v="14"/>
    <x v="16"/>
    <x v="23"/>
    <x v="23"/>
    <x v="21"/>
    <x v="22"/>
    <x v="11"/>
    <x v="10"/>
    <x v="19"/>
    <x v="21"/>
    <x v="22"/>
    <x v="22"/>
  </r>
  <r>
    <x v="26"/>
    <x v="0"/>
    <x v="1"/>
    <x v="2"/>
    <x v="2"/>
    <x v="20"/>
    <x v="17"/>
    <x v="24"/>
    <x v="24"/>
    <x v="22"/>
    <x v="23"/>
    <x v="2"/>
    <x v="24"/>
    <x v="20"/>
    <x v="22"/>
    <x v="23"/>
    <x v="23"/>
  </r>
  <r>
    <x v="27"/>
    <x v="1"/>
    <x v="1"/>
    <x v="9"/>
    <x v="11"/>
    <x v="12"/>
    <x v="10"/>
    <x v="25"/>
    <x v="25"/>
    <x v="23"/>
    <x v="24"/>
    <x v="13"/>
    <x v="25"/>
    <x v="11"/>
    <x v="23"/>
    <x v="11"/>
    <x v="11"/>
  </r>
  <r>
    <x v="28"/>
    <x v="1"/>
    <x v="1"/>
    <x v="20"/>
    <x v="20"/>
    <x v="21"/>
    <x v="18"/>
    <x v="23"/>
    <x v="26"/>
    <x v="24"/>
    <x v="25"/>
    <x v="22"/>
    <x v="26"/>
    <x v="21"/>
    <x v="24"/>
    <x v="24"/>
    <x v="24"/>
  </r>
  <r>
    <x v="29"/>
    <x v="6"/>
    <x v="1"/>
    <x v="6"/>
    <x v="21"/>
    <x v="18"/>
    <x v="12"/>
    <x v="26"/>
    <x v="27"/>
    <x v="25"/>
    <x v="26"/>
    <x v="23"/>
    <x v="27"/>
    <x v="22"/>
    <x v="25"/>
    <x v="25"/>
    <x v="25"/>
  </r>
  <r>
    <x v="30"/>
    <x v="6"/>
    <x v="1"/>
    <x v="8"/>
    <x v="6"/>
    <x v="5"/>
    <x v="6"/>
    <x v="27"/>
    <x v="2"/>
    <x v="26"/>
    <x v="27"/>
    <x v="24"/>
    <x v="28"/>
    <x v="23"/>
    <x v="26"/>
    <x v="26"/>
    <x v="26"/>
  </r>
  <r>
    <x v="31"/>
    <x v="6"/>
    <x v="1"/>
    <x v="19"/>
    <x v="9"/>
    <x v="9"/>
    <x v="9"/>
    <x v="2"/>
    <x v="28"/>
    <x v="27"/>
    <x v="28"/>
    <x v="10"/>
    <x v="29"/>
    <x v="7"/>
    <x v="27"/>
    <x v="27"/>
    <x v="27"/>
  </r>
  <r>
    <x v="32"/>
    <x v="0"/>
    <x v="1"/>
    <x v="21"/>
    <x v="22"/>
    <x v="1"/>
    <x v="1"/>
    <x v="2"/>
    <x v="29"/>
    <x v="1"/>
    <x v="1"/>
    <x v="1"/>
    <x v="1"/>
    <x v="1"/>
    <x v="1"/>
    <x v="1"/>
    <x v="1"/>
  </r>
  <r>
    <x v="33"/>
    <x v="1"/>
    <x v="1"/>
    <x v="3"/>
    <x v="3"/>
    <x v="3"/>
    <x v="3"/>
    <x v="3"/>
    <x v="3"/>
    <x v="3"/>
    <x v="3"/>
    <x v="3"/>
    <x v="3"/>
    <x v="3"/>
    <x v="3"/>
    <x v="3"/>
    <x v="3"/>
  </r>
  <r>
    <x v="34"/>
    <x v="1"/>
    <x v="1"/>
    <x v="19"/>
    <x v="3"/>
    <x v="3"/>
    <x v="3"/>
    <x v="28"/>
    <x v="3"/>
    <x v="3"/>
    <x v="3"/>
    <x v="7"/>
    <x v="5"/>
    <x v="3"/>
    <x v="3"/>
    <x v="28"/>
    <x v="28"/>
  </r>
  <r>
    <x v="35"/>
    <x v="1"/>
    <x v="1"/>
    <x v="22"/>
    <x v="11"/>
    <x v="12"/>
    <x v="19"/>
    <x v="22"/>
    <x v="25"/>
    <x v="23"/>
    <x v="29"/>
    <x v="11"/>
    <x v="30"/>
    <x v="24"/>
    <x v="28"/>
    <x v="29"/>
    <x v="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 chartFormat="2">
  <location ref="A3:C6" firstHeaderRow="0" firstDataRow="1" firstDataCol="1"/>
  <pivotFields count="17">
    <pivotField compact="0" showAll="0"/>
    <pivotField compact="0" numFmtId="178" showAll="0"/>
    <pivotField axis="axisRow" compact="0" showAll="0">
      <items count="3">
        <item x="1"/>
        <item x="0"/>
        <item t="default"/>
      </items>
    </pivotField>
    <pivotField compact="0" numFmtId="1" showAll="0"/>
    <pivotField compact="0" numFmtId="1" showAll="0"/>
    <pivotField compact="0" numFmtId="1" showAll="0"/>
    <pivotField compact="0" numFmtId="1" showAll="0"/>
    <pivotField compact="0" numFmtId="178" showAll="0"/>
    <pivotField compact="0" numFmtId="178" showAll="0"/>
    <pivotField compact="0" numFmtId="178" showAll="0"/>
    <pivotField compact="0" numFmtId="178" showAll="0"/>
    <pivotField dataField="1" compact="0" numFmtId="1" showAll="0"/>
    <pivotField compact="0" numFmtId="178" showAll="0"/>
    <pivotField dataField="1" compact="0" numFmtId="1" showAll="0"/>
    <pivotField compact="0" numFmtId="178" showAll="0"/>
    <pivotField compact="0" numFmtId="179" showAll="0"/>
    <pivotField compact="0" numFmtId="179" showAll="0"/>
  </pivotFields>
  <rowFields count="1">
    <field x="2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 1月销量（杯）" fld="11" baseField="0" baseItem="0"/>
    <dataField name=" 2月销量（杯）" fld="13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数据透视表2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10:E13" firstHeaderRow="0" firstDataRow="1" firstDataCol="1"/>
  <pivotFields count="17">
    <pivotField compact="0" showAll="0"/>
    <pivotField compact="0" numFmtId="178" showAll="0"/>
    <pivotField axis="axisRow" compact="0" showAll="0">
      <items count="3">
        <item x="1"/>
        <item x="0"/>
        <item t="default"/>
      </items>
    </pivotField>
    <pivotField compact="0" numFmtId="1" showAll="0"/>
    <pivotField compact="0" numFmtId="1" showAll="0"/>
    <pivotField compact="0" numFmtId="1" showAll="0"/>
    <pivotField compact="0" numFmtId="1" showAll="0"/>
    <pivotField compact="0" numFmtId="178" showAll="0"/>
    <pivotField compact="0" numFmtId="178" showAll="0"/>
    <pivotField compact="0" numFmtId="178" showAll="0"/>
    <pivotField compact="0" numFmtId="178" showAll="0"/>
    <pivotField dataField="1" compact="0" numFmtId="1" showAll="0"/>
    <pivotField dataField="1" compact="0" numFmtId="178" showAll="0"/>
    <pivotField dataField="1" compact="0" numFmtId="1" showAll="0"/>
    <pivotField dataField="1" compact="0" numFmtId="178" showAll="0"/>
    <pivotField compact="0" numFmtId="179" showAll="0"/>
    <pivotField compact="0" numFmtId="179" showAll="0"/>
  </pivotFields>
  <rowFields count="1">
    <field x="2"/>
  </rowFields>
  <rowItems count="3">
    <i>
      <x/>
    </i>
    <i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平均单款1月销量（杯）" fld="11" subtotal="average" baseField="0" baseItem="0"/>
    <dataField name="平均单款2月销量（杯）" fld="13" subtotal="average" baseField="0" baseItem="0"/>
    <dataField name=" 1月销售额（元）" fld="12" baseField="0" baseItem="0"/>
    <dataField name=" 2月销售额（元）" fld="14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数据透视表3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 chartFormat="2">
  <location ref="A19:B26" firstHeaderRow="1" firstDataRow="1" firstDataCol="1"/>
  <pivotFields count="17">
    <pivotField axis="axisRow" compact="0" multipleItemSelectionAllowed="1" showAll="0">
      <items count="37">
        <item h="1" x="27"/>
        <item h="1" x="3"/>
        <item h="1" x="15"/>
        <item h="1" x="28"/>
        <item x="1"/>
        <item x="2"/>
        <item x="16"/>
        <item h="1" x="29"/>
        <item h="1" x="25"/>
        <item h="1" x="32"/>
        <item h="1" x="23"/>
        <item h="1" x="17"/>
        <item h="1" x="30"/>
        <item x="0"/>
        <item h="1" x="20"/>
        <item h="1" x="7"/>
        <item h="1" x="12"/>
        <item h="1" x="4"/>
        <item h="1" x="5"/>
        <item h="1" x="6"/>
        <item h="1" x="31"/>
        <item h="1" x="22"/>
        <item h="1" x="24"/>
        <item h="1" x="26"/>
        <item h="1" x="11"/>
        <item h="1" x="8"/>
        <item h="1" x="9"/>
        <item h="1" x="10"/>
        <item h="1" x="21"/>
        <item x="14"/>
        <item h="1" x="18"/>
        <item h="1" x="13"/>
        <item x="19"/>
        <item h="1" x="33"/>
        <item h="1" x="34"/>
        <item h="1" x="35"/>
        <item t="default"/>
      </items>
    </pivotField>
    <pivotField compact="0" numFmtId="178" showAll="0"/>
    <pivotField compact="0" showAll="0"/>
    <pivotField compact="0" numFmtId="1" showAll="0"/>
    <pivotField compact="0" numFmtId="1" showAll="0"/>
    <pivotField compact="0" numFmtId="1" showAll="0"/>
    <pivotField compact="0" numFmtId="1" showAll="0"/>
    <pivotField compact="0" numFmtId="178" showAll="0"/>
    <pivotField compact="0" numFmtId="178" showAll="0"/>
    <pivotField compact="0" numFmtId="178" showAll="0"/>
    <pivotField compact="0" numFmtId="178" showAll="0"/>
    <pivotField compact="0" numFmtId="1" showAll="0"/>
    <pivotField compact="0" numFmtId="178" showAll="0"/>
    <pivotField dataField="1" compact="0" numFmtId="1" showAll="0"/>
    <pivotField compact="0" numFmtId="178" showAll="0"/>
    <pivotField compact="0" numFmtId="179" showAll="0"/>
    <pivotField compact="0" numFmtId="179" showAll="0"/>
  </pivotFields>
  <rowFields count="1">
    <field x="0"/>
  </rowFields>
  <rowItems count="7">
    <i>
      <x v="4"/>
    </i>
    <i>
      <x v="5"/>
    </i>
    <i>
      <x v="6"/>
    </i>
    <i>
      <x v="13"/>
    </i>
    <i>
      <x v="29"/>
    </i>
    <i>
      <x v="32"/>
    </i>
    <i t="grand">
      <x/>
    </i>
  </rowItems>
  <colItems count="1">
    <i/>
  </colItems>
  <dataFields count="1">
    <dataField name=" 2月销量（杯）" fld="13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数据透视表4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D19:E22" firstHeaderRow="1" firstDataRow="1" firstDataCol="1"/>
  <pivotFields count="17">
    <pivotField compact="0" showAll="0">
      <items count="37">
        <item x="27"/>
        <item x="3"/>
        <item x="15"/>
        <item x="28"/>
        <item x="1"/>
        <item x="2"/>
        <item x="16"/>
        <item x="29"/>
        <item x="25"/>
        <item x="32"/>
        <item x="23"/>
        <item x="17"/>
        <item x="30"/>
        <item x="0"/>
        <item x="20"/>
        <item x="7"/>
        <item x="12"/>
        <item x="4"/>
        <item x="5"/>
        <item x="6"/>
        <item x="31"/>
        <item x="22"/>
        <item x="24"/>
        <item x="26"/>
        <item x="11"/>
        <item x="8"/>
        <item x="9"/>
        <item x="10"/>
        <item x="21"/>
        <item x="14"/>
        <item x="18"/>
        <item x="13"/>
        <item x="19"/>
        <item x="33"/>
        <item x="34"/>
        <item x="35"/>
        <item t="default"/>
      </items>
    </pivotField>
    <pivotField compact="0" numFmtId="178" showAll="0"/>
    <pivotField axis="axisRow" compact="0" showAll="0">
      <items count="3">
        <item x="1"/>
        <item x="0"/>
        <item t="default"/>
      </items>
    </pivotField>
    <pivotField compact="0" numFmtId="1" showAll="0"/>
    <pivotField compact="0" numFmtId="1" showAll="0"/>
    <pivotField compact="0" numFmtId="1" showAll="0"/>
    <pivotField compact="0" numFmtId="1" showAll="0"/>
    <pivotField compact="0" numFmtId="178" showAll="0"/>
    <pivotField compact="0" numFmtId="178" showAll="0"/>
    <pivotField compact="0" numFmtId="178" showAll="0"/>
    <pivotField compact="0" numFmtId="178" showAll="0"/>
    <pivotField dataField="1" compact="0" numFmtId="1" showAll="0"/>
    <pivotField compact="0" numFmtId="178" showAll="0"/>
    <pivotField compact="0" numFmtId="1" showAll="0"/>
    <pivotField compact="0" numFmtId="178" showAll="0"/>
    <pivotField compact="0" numFmtId="179" showAll="0"/>
    <pivotField compact="0" numFmtId="179"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 1月销量（杯）" fld="11" showDataAs="percentOfCol" baseField="0" baseItem="0" numFmtId="1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9"/>
  <sheetViews>
    <sheetView zoomScale="90" zoomScaleNormal="90" workbookViewId="0">
      <pane xSplit="2" ySplit="2" topLeftCell="C13" activePane="bottomRight" state="frozen"/>
      <selection/>
      <selection pane="topRight"/>
      <selection pane="bottomLeft"/>
      <selection pane="bottomRight" activeCell="B2" sqref="B2:R38"/>
    </sheetView>
  </sheetViews>
  <sheetFormatPr defaultColWidth="9" defaultRowHeight="14.4"/>
  <cols>
    <col min="1" max="1" width="5" style="1" customWidth="1"/>
    <col min="2" max="2" width="24" style="1" customWidth="1"/>
    <col min="3" max="3" width="9" style="1" customWidth="1"/>
    <col min="4" max="4" width="7" style="1" customWidth="1"/>
    <col min="5" max="8" width="11" style="1" customWidth="1"/>
    <col min="9" max="12" width="12" style="1" customWidth="1"/>
    <col min="13" max="13" width="10" style="1" customWidth="1"/>
    <col min="14" max="14" width="12" style="1" customWidth="1"/>
    <col min="15" max="15" width="10" style="1" customWidth="1"/>
    <col min="16" max="16" width="12" style="1" customWidth="1"/>
    <col min="17" max="17" width="9" style="1" customWidth="1"/>
    <col min="18" max="18" width="10" style="1" customWidth="1"/>
    <col min="19" max="19" width="26" style="1" customWidth="1"/>
  </cols>
  <sheetData>
    <row r="1" ht="30" customHeight="1" spans="1:19">
      <c r="A1" s="10" t="s">
        <v>0</v>
      </c>
    </row>
    <row r="2" ht="42" customHeight="1" spans="1:19">
      <c r="A2" s="11" t="s">
        <v>1</v>
      </c>
      <c r="B2" s="11" t="s">
        <v>2</v>
      </c>
      <c r="C2" s="11" t="s">
        <v>3</v>
      </c>
      <c r="D2" s="11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1" t="s">
        <v>9</v>
      </c>
      <c r="J2" s="11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</row>
    <row r="3" ht="24" customHeight="1" spans="1:19">
      <c r="A3" s="12">
        <v>1</v>
      </c>
      <c r="B3" s="13" t="s">
        <v>20</v>
      </c>
      <c r="C3" s="14">
        <v>8</v>
      </c>
      <c r="D3" s="12" t="s">
        <v>21</v>
      </c>
      <c r="E3" s="15">
        <v>22</v>
      </c>
      <c r="F3" s="15">
        <v>324</v>
      </c>
      <c r="G3" s="15">
        <v>311</v>
      </c>
      <c r="H3" s="15">
        <v>298</v>
      </c>
      <c r="I3" s="16">
        <f t="shared" ref="I3:I38" si="0">IF(COUNT(E3)=0,"",C3*E3)</f>
        <v>176</v>
      </c>
      <c r="J3" s="17">
        <f>IF(COUNT(F3)=0,"",C3*F3*3/4)</f>
        <v>1944</v>
      </c>
      <c r="K3" s="17">
        <f>IF(COUNT(G3)=0,"",C3*G3*3/4)</f>
        <v>1866</v>
      </c>
      <c r="L3" s="17">
        <f>IF(COUNT(H3)=0,"",C3*H3*3/4)</f>
        <v>1788</v>
      </c>
      <c r="M3" s="18">
        <f t="array" ref="M3">IF(COUNT(E3:F3)=0,"",SUM(E3:F3))</f>
        <v>346</v>
      </c>
      <c r="N3" s="16">
        <f t="array" ref="N3">IF(COUNT(E3:F3)=0,"",SUM(I3:J3))</f>
        <v>2120</v>
      </c>
      <c r="O3" s="18">
        <f t="array" ref="O3">IF(COUNT(G3:H3)=0,"",SUM(G3:H3))</f>
        <v>609</v>
      </c>
      <c r="P3" s="16">
        <f t="array" ref="P3">IF(COUNT(G3:H3)=0,"",SUM(K3:L3))</f>
        <v>3654</v>
      </c>
      <c r="Q3" s="19">
        <f t="shared" ref="Q3:Q39" si="1">IF(OR(COUNT(M3)=0,M3=0),"",O3/M3-1)</f>
        <v>0.760115606936416</v>
      </c>
      <c r="R3" s="19">
        <f t="shared" ref="R3:R39" si="2">IF(OR(COUNT(N3)=0,N3=0),"",P3/N3-1)</f>
        <v>0.723584905660377</v>
      </c>
      <c r="S3" s="20" t="s">
        <v>22</v>
      </c>
    </row>
    <row r="4" ht="24" customHeight="1" spans="1:19">
      <c r="A4" s="12">
        <v>2</v>
      </c>
      <c r="B4" s="13" t="s">
        <v>23</v>
      </c>
      <c r="C4" s="14">
        <v>8</v>
      </c>
      <c r="D4" s="12" t="s">
        <v>21</v>
      </c>
      <c r="E4" s="15">
        <v>9</v>
      </c>
      <c r="F4" s="15">
        <v>14</v>
      </c>
      <c r="G4" s="15">
        <v>12</v>
      </c>
      <c r="H4" s="15">
        <v>11</v>
      </c>
      <c r="I4" s="16">
        <f t="shared" si="0"/>
        <v>72</v>
      </c>
      <c r="J4" s="16">
        <f t="shared" ref="J4:J38" si="3">IF(COUNT(F4)=0,"",C4*F4)</f>
        <v>112</v>
      </c>
      <c r="K4" s="16">
        <f t="shared" ref="K4:K38" si="4">IF(COUNT(G4)=0,"",C4*G4)</f>
        <v>96</v>
      </c>
      <c r="L4" s="16">
        <f t="shared" ref="L4:L38" si="5">IF(COUNT(H4)=0,"",C4*H4)</f>
        <v>88</v>
      </c>
      <c r="M4" s="18">
        <f t="array" ref="M4">IF(COUNT(E4:F4)=0,"",SUM(E4:F4))</f>
        <v>23</v>
      </c>
      <c r="N4" s="16">
        <f t="array" ref="N4">IF(COUNT(E4:F4)=0,"",SUM(I4:J4))</f>
        <v>184</v>
      </c>
      <c r="O4" s="18">
        <f t="array" ref="O4">IF(COUNT(G4:H4)=0,"",SUM(G4:H4))</f>
        <v>23</v>
      </c>
      <c r="P4" s="16">
        <f t="array" ref="P4">IF(COUNT(G4:H4)=0,"",SUM(K4:L4))</f>
        <v>184</v>
      </c>
      <c r="Q4" s="19">
        <f t="shared" si="1"/>
        <v>0</v>
      </c>
      <c r="R4" s="19">
        <f t="shared" si="2"/>
        <v>0</v>
      </c>
      <c r="S4" s="21" t="s">
        <v>21</v>
      </c>
    </row>
    <row r="5" ht="24" customHeight="1" spans="1:19">
      <c r="A5" s="12">
        <v>3</v>
      </c>
      <c r="B5" s="13" t="s">
        <v>24</v>
      </c>
      <c r="C5" s="14">
        <v>10</v>
      </c>
      <c r="D5" s="12" t="s">
        <v>21</v>
      </c>
      <c r="E5" s="15">
        <v>8</v>
      </c>
      <c r="F5" s="15">
        <v>12</v>
      </c>
      <c r="G5" s="15">
        <v>11</v>
      </c>
      <c r="H5" s="15">
        <v>10</v>
      </c>
      <c r="I5" s="16">
        <f t="shared" si="0"/>
        <v>80</v>
      </c>
      <c r="J5" s="16">
        <f t="shared" si="3"/>
        <v>120</v>
      </c>
      <c r="K5" s="16">
        <f t="shared" si="4"/>
        <v>110</v>
      </c>
      <c r="L5" s="16">
        <f t="shared" si="5"/>
        <v>100</v>
      </c>
      <c r="M5" s="18">
        <f t="array" ref="M5">IF(COUNT(E5:F5)=0,"",SUM(E5:F5))</f>
        <v>20</v>
      </c>
      <c r="N5" s="16">
        <f t="array" ref="N5">IF(COUNT(E5:F5)=0,"",SUM(I5:J5))</f>
        <v>200</v>
      </c>
      <c r="O5" s="18">
        <f t="array" ref="O5">IF(COUNT(G5:H5)=0,"",SUM(G5:H5))</f>
        <v>21</v>
      </c>
      <c r="P5" s="16">
        <f t="array" ref="P5">IF(COUNT(G5:H5)=0,"",SUM(K5:L5))</f>
        <v>210</v>
      </c>
      <c r="Q5" s="19">
        <f t="shared" si="1"/>
        <v>0.05</v>
      </c>
      <c r="R5" s="19">
        <f t="shared" si="2"/>
        <v>0.05</v>
      </c>
      <c r="S5" s="21" t="s">
        <v>21</v>
      </c>
    </row>
    <row r="6" spans="1:19">
      <c r="A6" s="12">
        <v>4</v>
      </c>
      <c r="B6" s="13" t="s">
        <v>25</v>
      </c>
      <c r="C6" s="14">
        <v>10</v>
      </c>
      <c r="D6" s="12" t="s">
        <v>26</v>
      </c>
      <c r="E6" s="15">
        <v>21</v>
      </c>
      <c r="F6" s="15">
        <v>22</v>
      </c>
      <c r="G6" s="15">
        <v>20</v>
      </c>
      <c r="H6" s="15">
        <v>17</v>
      </c>
      <c r="I6" s="16">
        <f t="shared" si="0"/>
        <v>210</v>
      </c>
      <c r="J6" s="16">
        <f t="shared" si="3"/>
        <v>220</v>
      </c>
      <c r="K6" s="16">
        <f t="shared" si="4"/>
        <v>200</v>
      </c>
      <c r="L6" s="16">
        <f t="shared" si="5"/>
        <v>170</v>
      </c>
      <c r="M6" s="18">
        <f t="array" ref="M6">IF(COUNT(E6:F6)=0,"",SUM(E6:F6))</f>
        <v>43</v>
      </c>
      <c r="N6" s="16">
        <f t="array" ref="N6">IF(COUNT(E6:F6)=0,"",SUM(I6:J6))</f>
        <v>430</v>
      </c>
      <c r="O6" s="18">
        <f t="array" ref="O6">IF(COUNT(G6:H6)=0,"",SUM(G6:H6))</f>
        <v>37</v>
      </c>
      <c r="P6" s="16">
        <f t="array" ref="P6">IF(COUNT(G6:H6)=0,"",SUM(K6:L6))</f>
        <v>370</v>
      </c>
      <c r="Q6" s="19">
        <f t="shared" si="1"/>
        <v>-0.13953488372093</v>
      </c>
      <c r="R6" s="19">
        <f t="shared" si="2"/>
        <v>-0.13953488372093</v>
      </c>
      <c r="S6" s="21" t="s">
        <v>27</v>
      </c>
    </row>
    <row r="7" spans="1:19">
      <c r="A7" s="12">
        <v>5</v>
      </c>
      <c r="B7" s="13" t="s">
        <v>28</v>
      </c>
      <c r="C7" s="14">
        <v>7</v>
      </c>
      <c r="D7" s="12" t="s">
        <v>26</v>
      </c>
      <c r="E7" s="15">
        <v>42</v>
      </c>
      <c r="F7" s="15">
        <v>47</v>
      </c>
      <c r="G7" s="15">
        <v>45</v>
      </c>
      <c r="H7" s="15">
        <v>38</v>
      </c>
      <c r="I7" s="16">
        <f t="shared" si="0"/>
        <v>294</v>
      </c>
      <c r="J7" s="16">
        <f t="shared" si="3"/>
        <v>329</v>
      </c>
      <c r="K7" s="16">
        <f t="shared" si="4"/>
        <v>315</v>
      </c>
      <c r="L7" s="16">
        <f t="shared" si="5"/>
        <v>266</v>
      </c>
      <c r="M7" s="18">
        <f t="array" ref="M7">IF(COUNT(E7:F7)=0,"",SUM(E7:F7))</f>
        <v>89</v>
      </c>
      <c r="N7" s="16">
        <f t="array" ref="N7">IF(COUNT(E7:F7)=0,"",SUM(I7:J7))</f>
        <v>623</v>
      </c>
      <c r="O7" s="18">
        <f t="array" ref="O7">IF(COUNT(G7:H7)=0,"",SUM(G7:H7))</f>
        <v>83</v>
      </c>
      <c r="P7" s="16">
        <f t="array" ref="P7">IF(COUNT(G7:H7)=0,"",SUM(K7:L7))</f>
        <v>581</v>
      </c>
      <c r="Q7" s="19">
        <f t="shared" si="1"/>
        <v>-0.0674157303370787</v>
      </c>
      <c r="R7" s="19">
        <f t="shared" si="2"/>
        <v>-0.0674157303370787</v>
      </c>
      <c r="S7" s="21" t="s">
        <v>27</v>
      </c>
    </row>
    <row r="8" spans="1:19">
      <c r="A8" s="12">
        <v>6</v>
      </c>
      <c r="B8" s="13" t="s">
        <v>29</v>
      </c>
      <c r="C8" s="14">
        <v>7</v>
      </c>
      <c r="D8" s="12" t="s">
        <v>26</v>
      </c>
      <c r="E8" s="15">
        <v>28</v>
      </c>
      <c r="F8" s="15">
        <v>32</v>
      </c>
      <c r="G8" s="15">
        <v>29</v>
      </c>
      <c r="H8" s="15">
        <v>26</v>
      </c>
      <c r="I8" s="16">
        <f t="shared" si="0"/>
        <v>196</v>
      </c>
      <c r="J8" s="16">
        <f t="shared" si="3"/>
        <v>224</v>
      </c>
      <c r="K8" s="16">
        <f t="shared" si="4"/>
        <v>203</v>
      </c>
      <c r="L8" s="16">
        <f t="shared" si="5"/>
        <v>182</v>
      </c>
      <c r="M8" s="18">
        <f t="array" ref="M8">IF(COUNT(E8:F8)=0,"",SUM(E8:F8))</f>
        <v>60</v>
      </c>
      <c r="N8" s="16">
        <f t="array" ref="N8">IF(COUNT(E8:F8)=0,"",SUM(I8:J8))</f>
        <v>420</v>
      </c>
      <c r="O8" s="18">
        <f t="array" ref="O8">IF(COUNT(G8:H8)=0,"",SUM(G8:H8))</f>
        <v>55</v>
      </c>
      <c r="P8" s="16">
        <f t="array" ref="P8">IF(COUNT(G8:H8)=0,"",SUM(K8:L8))</f>
        <v>385</v>
      </c>
      <c r="Q8" s="19">
        <f t="shared" si="1"/>
        <v>-0.0833333333333334</v>
      </c>
      <c r="R8" s="19">
        <f t="shared" si="2"/>
        <v>-0.0833333333333334</v>
      </c>
      <c r="S8" s="21" t="s">
        <v>27</v>
      </c>
    </row>
    <row r="9" spans="1:19">
      <c r="A9" s="12">
        <v>7</v>
      </c>
      <c r="B9" s="13" t="s">
        <v>30</v>
      </c>
      <c r="C9" s="14">
        <v>7</v>
      </c>
      <c r="D9" s="12" t="s">
        <v>26</v>
      </c>
      <c r="E9" s="15">
        <v>26</v>
      </c>
      <c r="F9" s="15">
        <v>30</v>
      </c>
      <c r="G9" s="15">
        <v>27</v>
      </c>
      <c r="H9" s="15">
        <v>24</v>
      </c>
      <c r="I9" s="16">
        <f t="shared" si="0"/>
        <v>182</v>
      </c>
      <c r="J9" s="16">
        <f t="shared" si="3"/>
        <v>210</v>
      </c>
      <c r="K9" s="16">
        <f t="shared" si="4"/>
        <v>189</v>
      </c>
      <c r="L9" s="16">
        <f t="shared" si="5"/>
        <v>168</v>
      </c>
      <c r="M9" s="18">
        <f t="array" ref="M9">IF(COUNT(E9:F9)=0,"",SUM(E9:F9))</f>
        <v>56</v>
      </c>
      <c r="N9" s="16">
        <f t="array" ref="N9">IF(COUNT(E9:F9)=0,"",SUM(I9:J9))</f>
        <v>392</v>
      </c>
      <c r="O9" s="18">
        <f t="array" ref="O9">IF(COUNT(G9:H9)=0,"",SUM(G9:H9))</f>
        <v>51</v>
      </c>
      <c r="P9" s="16">
        <f t="array" ref="P9">IF(COUNT(G9:H9)=0,"",SUM(K9:L9))</f>
        <v>357</v>
      </c>
      <c r="Q9" s="19">
        <f t="shared" si="1"/>
        <v>-0.0892857142857143</v>
      </c>
      <c r="R9" s="19">
        <f t="shared" si="2"/>
        <v>-0.0892857142857143</v>
      </c>
      <c r="S9" s="21" t="s">
        <v>27</v>
      </c>
    </row>
    <row r="10" spans="1:19">
      <c r="A10" s="12">
        <v>8</v>
      </c>
      <c r="B10" s="13" t="s">
        <v>31</v>
      </c>
      <c r="C10" s="14">
        <v>10</v>
      </c>
      <c r="D10" s="12" t="s">
        <v>26</v>
      </c>
      <c r="E10" s="15">
        <v>18</v>
      </c>
      <c r="F10" s="15">
        <v>24</v>
      </c>
      <c r="G10" s="15">
        <v>23</v>
      </c>
      <c r="H10" s="15">
        <v>19</v>
      </c>
      <c r="I10" s="16">
        <f t="shared" si="0"/>
        <v>180</v>
      </c>
      <c r="J10" s="16">
        <f t="shared" si="3"/>
        <v>240</v>
      </c>
      <c r="K10" s="16">
        <f t="shared" si="4"/>
        <v>230</v>
      </c>
      <c r="L10" s="16">
        <f t="shared" si="5"/>
        <v>190</v>
      </c>
      <c r="M10" s="18">
        <f t="array" ref="M10">IF(COUNT(E10:F10)=0,"",SUM(E10:F10))</f>
        <v>42</v>
      </c>
      <c r="N10" s="16">
        <f t="array" ref="N10">IF(COUNT(E10:F10)=0,"",SUM(I10:J10))</f>
        <v>420</v>
      </c>
      <c r="O10" s="18">
        <f t="array" ref="O10">IF(COUNT(G10:H10)=0,"",SUM(G10:H10))</f>
        <v>42</v>
      </c>
      <c r="P10" s="16">
        <f t="array" ref="P10">IF(COUNT(G10:H10)=0,"",SUM(K10:L10))</f>
        <v>420</v>
      </c>
      <c r="Q10" s="19">
        <f t="shared" si="1"/>
        <v>0</v>
      </c>
      <c r="R10" s="19">
        <f t="shared" si="2"/>
        <v>0</v>
      </c>
      <c r="S10" s="21" t="s">
        <v>27</v>
      </c>
    </row>
    <row r="11" spans="1:19">
      <c r="A11" s="12">
        <v>9</v>
      </c>
      <c r="B11" s="13" t="s">
        <v>32</v>
      </c>
      <c r="C11" s="14">
        <v>8</v>
      </c>
      <c r="D11" s="12" t="s">
        <v>26</v>
      </c>
      <c r="E11" s="15">
        <v>24</v>
      </c>
      <c r="F11" s="15">
        <v>26</v>
      </c>
      <c r="G11" s="15">
        <v>25</v>
      </c>
      <c r="H11" s="15">
        <v>22</v>
      </c>
      <c r="I11" s="16">
        <f t="shared" si="0"/>
        <v>192</v>
      </c>
      <c r="J11" s="16">
        <f t="shared" si="3"/>
        <v>208</v>
      </c>
      <c r="K11" s="16">
        <f t="shared" si="4"/>
        <v>200</v>
      </c>
      <c r="L11" s="16">
        <f t="shared" si="5"/>
        <v>176</v>
      </c>
      <c r="M11" s="18">
        <f t="array" ref="M11">IF(COUNT(E11:F11)=0,"",SUM(E11:F11))</f>
        <v>50</v>
      </c>
      <c r="N11" s="16">
        <f t="array" ref="N11">IF(COUNT(E11:F11)=0,"",SUM(I11:J11))</f>
        <v>400</v>
      </c>
      <c r="O11" s="18">
        <f t="array" ref="O11">IF(COUNT(G11:H11)=0,"",SUM(G11:H11))</f>
        <v>47</v>
      </c>
      <c r="P11" s="16">
        <f t="array" ref="P11">IF(COUNT(G11:H11)=0,"",SUM(K11:L11))</f>
        <v>376</v>
      </c>
      <c r="Q11" s="19">
        <f t="shared" si="1"/>
        <v>-0.0600000000000001</v>
      </c>
      <c r="R11" s="19">
        <f t="shared" si="2"/>
        <v>-0.0600000000000001</v>
      </c>
      <c r="S11" s="21" t="s">
        <v>27</v>
      </c>
    </row>
    <row r="12" spans="1:19">
      <c r="A12" s="12">
        <v>10</v>
      </c>
      <c r="B12" s="13" t="s">
        <v>33</v>
      </c>
      <c r="C12" s="14">
        <v>8</v>
      </c>
      <c r="D12" s="12" t="s">
        <v>26</v>
      </c>
      <c r="E12" s="15">
        <v>22</v>
      </c>
      <c r="F12" s="15">
        <v>25</v>
      </c>
      <c r="G12" s="15">
        <v>22</v>
      </c>
      <c r="H12" s="15">
        <v>20</v>
      </c>
      <c r="I12" s="16">
        <f t="shared" si="0"/>
        <v>176</v>
      </c>
      <c r="J12" s="16">
        <f t="shared" si="3"/>
        <v>200</v>
      </c>
      <c r="K12" s="16">
        <f t="shared" si="4"/>
        <v>176</v>
      </c>
      <c r="L12" s="16">
        <f t="shared" si="5"/>
        <v>160</v>
      </c>
      <c r="M12" s="18">
        <f t="array" ref="M12">IF(COUNT(E12:F12)=0,"",SUM(E12:F12))</f>
        <v>47</v>
      </c>
      <c r="N12" s="16">
        <f t="array" ref="N12">IF(COUNT(E12:F12)=0,"",SUM(I12:J12))</f>
        <v>376</v>
      </c>
      <c r="O12" s="18">
        <f t="array" ref="O12">IF(COUNT(G12:H12)=0,"",SUM(G12:H12))</f>
        <v>42</v>
      </c>
      <c r="P12" s="16">
        <f t="array" ref="P12">IF(COUNT(G12:H12)=0,"",SUM(K12:L12))</f>
        <v>336</v>
      </c>
      <c r="Q12" s="19">
        <f t="shared" si="1"/>
        <v>-0.106382978723404</v>
      </c>
      <c r="R12" s="19">
        <f t="shared" si="2"/>
        <v>-0.106382978723404</v>
      </c>
      <c r="S12" s="21" t="s">
        <v>27</v>
      </c>
    </row>
    <row r="13" spans="1:19">
      <c r="A13" s="12">
        <v>11</v>
      </c>
      <c r="B13" s="13" t="s">
        <v>34</v>
      </c>
      <c r="C13" s="14">
        <v>8</v>
      </c>
      <c r="D13" s="12" t="s">
        <v>26</v>
      </c>
      <c r="E13" s="15">
        <v>21</v>
      </c>
      <c r="F13" s="15">
        <v>24</v>
      </c>
      <c r="G13" s="15">
        <v>21</v>
      </c>
      <c r="H13" s="15">
        <v>19</v>
      </c>
      <c r="I13" s="16">
        <f t="shared" si="0"/>
        <v>168</v>
      </c>
      <c r="J13" s="16">
        <f t="shared" si="3"/>
        <v>192</v>
      </c>
      <c r="K13" s="16">
        <f t="shared" si="4"/>
        <v>168</v>
      </c>
      <c r="L13" s="16">
        <f t="shared" si="5"/>
        <v>152</v>
      </c>
      <c r="M13" s="18">
        <f t="array" ref="M13">IF(COUNT(E13:F13)=0,"",SUM(E13:F13))</f>
        <v>45</v>
      </c>
      <c r="N13" s="16">
        <f t="array" ref="N13">IF(COUNT(E13:F13)=0,"",SUM(I13:J13))</f>
        <v>360</v>
      </c>
      <c r="O13" s="18">
        <f t="array" ref="O13">IF(COUNT(G13:H13)=0,"",SUM(G13:H13))</f>
        <v>40</v>
      </c>
      <c r="P13" s="16">
        <f t="array" ref="P13">IF(COUNT(G13:H13)=0,"",SUM(K13:L13))</f>
        <v>320</v>
      </c>
      <c r="Q13" s="19">
        <f t="shared" si="1"/>
        <v>-0.111111111111111</v>
      </c>
      <c r="R13" s="19">
        <f t="shared" si="2"/>
        <v>-0.111111111111111</v>
      </c>
      <c r="S13" s="21" t="s">
        <v>27</v>
      </c>
    </row>
    <row r="14" spans="1:19">
      <c r="A14" s="12">
        <v>12</v>
      </c>
      <c r="B14" s="13" t="s">
        <v>35</v>
      </c>
      <c r="C14" s="14">
        <v>8</v>
      </c>
      <c r="D14" s="12" t="s">
        <v>26</v>
      </c>
      <c r="E14" s="15">
        <v>14</v>
      </c>
      <c r="F14" s="15">
        <v>20</v>
      </c>
      <c r="G14" s="15">
        <v>18</v>
      </c>
      <c r="H14" s="15">
        <v>17</v>
      </c>
      <c r="I14" s="16">
        <f t="shared" si="0"/>
        <v>112</v>
      </c>
      <c r="J14" s="16">
        <f t="shared" si="3"/>
        <v>160</v>
      </c>
      <c r="K14" s="16">
        <f t="shared" si="4"/>
        <v>144</v>
      </c>
      <c r="L14" s="16">
        <f t="shared" si="5"/>
        <v>136</v>
      </c>
      <c r="M14" s="18">
        <f t="array" ref="M14">IF(COUNT(E14:F14)=0,"",SUM(E14:F14))</f>
        <v>34</v>
      </c>
      <c r="N14" s="16">
        <f t="array" ref="N14">IF(COUNT(E14:F14)=0,"",SUM(I14:J14))</f>
        <v>272</v>
      </c>
      <c r="O14" s="18">
        <f t="array" ref="O14">IF(COUNT(G14:H14)=0,"",SUM(G14:H14))</f>
        <v>35</v>
      </c>
      <c r="P14" s="16">
        <f t="array" ref="P14">IF(COUNT(G14:H14)=0,"",SUM(K14:L14))</f>
        <v>280</v>
      </c>
      <c r="Q14" s="19">
        <f t="shared" si="1"/>
        <v>0.0294117647058822</v>
      </c>
      <c r="R14" s="19">
        <f t="shared" si="2"/>
        <v>0.0294117647058822</v>
      </c>
      <c r="S14" s="21" t="s">
        <v>27</v>
      </c>
    </row>
    <row r="15" spans="1:19">
      <c r="A15" s="12">
        <v>13</v>
      </c>
      <c r="B15" s="13" t="s">
        <v>36</v>
      </c>
      <c r="C15" s="14">
        <v>12</v>
      </c>
      <c r="D15" s="12" t="s">
        <v>26</v>
      </c>
      <c r="E15" s="15">
        <v>13</v>
      </c>
      <c r="F15" s="15">
        <v>18</v>
      </c>
      <c r="G15" s="15">
        <v>16</v>
      </c>
      <c r="H15" s="15">
        <v>15</v>
      </c>
      <c r="I15" s="16">
        <f t="shared" si="0"/>
        <v>156</v>
      </c>
      <c r="J15" s="16">
        <f t="shared" si="3"/>
        <v>216</v>
      </c>
      <c r="K15" s="16">
        <f t="shared" si="4"/>
        <v>192</v>
      </c>
      <c r="L15" s="16">
        <f t="shared" si="5"/>
        <v>180</v>
      </c>
      <c r="M15" s="18">
        <f t="array" ref="M15">IF(COUNT(E15:F15)=0,"",SUM(E15:F15))</f>
        <v>31</v>
      </c>
      <c r="N15" s="16">
        <f t="array" ref="N15">IF(COUNT(E15:F15)=0,"",SUM(I15:J15))</f>
        <v>372</v>
      </c>
      <c r="O15" s="18">
        <f t="array" ref="O15">IF(COUNT(G15:H15)=0,"",SUM(G15:H15))</f>
        <v>31</v>
      </c>
      <c r="P15" s="16">
        <f t="array" ref="P15">IF(COUNT(G15:H15)=0,"",SUM(K15:L15))</f>
        <v>372</v>
      </c>
      <c r="Q15" s="19">
        <f t="shared" si="1"/>
        <v>0</v>
      </c>
      <c r="R15" s="19">
        <f t="shared" si="2"/>
        <v>0</v>
      </c>
      <c r="S15" s="21" t="s">
        <v>27</v>
      </c>
    </row>
    <row r="16" spans="1:19">
      <c r="A16" s="12">
        <v>14</v>
      </c>
      <c r="B16" s="13" t="s">
        <v>37</v>
      </c>
      <c r="C16" s="14">
        <v>12</v>
      </c>
      <c r="D16" s="12" t="s">
        <v>26</v>
      </c>
      <c r="E16" s="15">
        <v>14</v>
      </c>
      <c r="F16" s="15">
        <v>18</v>
      </c>
      <c r="G16" s="15">
        <v>16</v>
      </c>
      <c r="H16" s="15">
        <v>15</v>
      </c>
      <c r="I16" s="16">
        <f t="shared" si="0"/>
        <v>168</v>
      </c>
      <c r="J16" s="16">
        <f t="shared" si="3"/>
        <v>216</v>
      </c>
      <c r="K16" s="16">
        <f t="shared" si="4"/>
        <v>192</v>
      </c>
      <c r="L16" s="16">
        <f t="shared" si="5"/>
        <v>180</v>
      </c>
      <c r="M16" s="18">
        <f t="array" ref="M16">IF(COUNT(E16:F16)=0,"",SUM(E16:F16))</f>
        <v>32</v>
      </c>
      <c r="N16" s="16">
        <f t="array" ref="N16">IF(COUNT(E16:F16)=0,"",SUM(I16:J16))</f>
        <v>384</v>
      </c>
      <c r="O16" s="18">
        <f t="array" ref="O16">IF(COUNT(G16:H16)=0,"",SUM(G16:H16))</f>
        <v>31</v>
      </c>
      <c r="P16" s="16">
        <f t="array" ref="P16">IF(COUNT(G16:H16)=0,"",SUM(K16:L16))</f>
        <v>372</v>
      </c>
      <c r="Q16" s="19">
        <f t="shared" si="1"/>
        <v>-0.03125</v>
      </c>
      <c r="R16" s="19">
        <f t="shared" si="2"/>
        <v>-0.03125</v>
      </c>
      <c r="S16" s="21" t="s">
        <v>27</v>
      </c>
    </row>
    <row r="17" spans="1:19">
      <c r="A17" s="12">
        <v>15</v>
      </c>
      <c r="B17" s="13" t="s">
        <v>38</v>
      </c>
      <c r="C17" s="14">
        <v>12</v>
      </c>
      <c r="D17" s="12" t="s">
        <v>26</v>
      </c>
      <c r="E17" s="15">
        <v>25</v>
      </c>
      <c r="F17" s="15">
        <v>27</v>
      </c>
      <c r="G17" s="15">
        <v>26</v>
      </c>
      <c r="H17" s="15">
        <v>22</v>
      </c>
      <c r="I17" s="16">
        <f t="shared" si="0"/>
        <v>300</v>
      </c>
      <c r="J17" s="16">
        <f t="shared" si="3"/>
        <v>324</v>
      </c>
      <c r="K17" s="16">
        <f t="shared" si="4"/>
        <v>312</v>
      </c>
      <c r="L17" s="16">
        <f t="shared" si="5"/>
        <v>264</v>
      </c>
      <c r="M17" s="18">
        <f t="array" ref="M17">IF(COUNT(E17:F17)=0,"",SUM(E17:F17))</f>
        <v>52</v>
      </c>
      <c r="N17" s="16">
        <f t="array" ref="N17">IF(COUNT(E17:F17)=0,"",SUM(I17:J17))</f>
        <v>624</v>
      </c>
      <c r="O17" s="18">
        <f t="array" ref="O17">IF(COUNT(G17:H17)=0,"",SUM(G17:H17))</f>
        <v>48</v>
      </c>
      <c r="P17" s="16">
        <f t="array" ref="P17">IF(COUNT(G17:H17)=0,"",SUM(K17:L17))</f>
        <v>576</v>
      </c>
      <c r="Q17" s="19">
        <f t="shared" si="1"/>
        <v>-0.0769230769230769</v>
      </c>
      <c r="R17" s="19">
        <f t="shared" si="2"/>
        <v>-0.0769230769230769</v>
      </c>
      <c r="S17" s="21" t="s">
        <v>27</v>
      </c>
    </row>
    <row r="18" spans="1:19">
      <c r="A18" s="12">
        <v>16</v>
      </c>
      <c r="B18" s="13" t="s">
        <v>39</v>
      </c>
      <c r="C18" s="14">
        <v>13</v>
      </c>
      <c r="D18" s="12" t="s">
        <v>26</v>
      </c>
      <c r="E18" s="15">
        <v>15</v>
      </c>
      <c r="F18" s="15">
        <v>19</v>
      </c>
      <c r="G18" s="15">
        <v>17</v>
      </c>
      <c r="H18" s="15">
        <v>15</v>
      </c>
      <c r="I18" s="16">
        <f t="shared" si="0"/>
        <v>195</v>
      </c>
      <c r="J18" s="16">
        <f t="shared" si="3"/>
        <v>247</v>
      </c>
      <c r="K18" s="16">
        <f t="shared" si="4"/>
        <v>221</v>
      </c>
      <c r="L18" s="16">
        <f t="shared" si="5"/>
        <v>195</v>
      </c>
      <c r="M18" s="18">
        <f t="array" ref="M18">IF(COUNT(E18:F18)=0,"",SUM(E18:F18))</f>
        <v>34</v>
      </c>
      <c r="N18" s="16">
        <f t="array" ref="N18">IF(COUNT(E18:F18)=0,"",SUM(I18:J18))</f>
        <v>442</v>
      </c>
      <c r="O18" s="18">
        <f t="array" ref="O18">IF(COUNT(G18:H18)=0,"",SUM(G18:H18))</f>
        <v>32</v>
      </c>
      <c r="P18" s="16">
        <f t="array" ref="P18">IF(COUNT(G18:H18)=0,"",SUM(K18:L18))</f>
        <v>416</v>
      </c>
      <c r="Q18" s="19">
        <f t="shared" si="1"/>
        <v>-0.0588235294117647</v>
      </c>
      <c r="R18" s="19">
        <f t="shared" si="2"/>
        <v>-0.0588235294117647</v>
      </c>
      <c r="S18" s="21" t="s">
        <v>27</v>
      </c>
    </row>
    <row r="19" spans="1:19">
      <c r="A19" s="12">
        <v>17</v>
      </c>
      <c r="B19" s="13" t="s">
        <v>40</v>
      </c>
      <c r="C19" s="14">
        <v>7</v>
      </c>
      <c r="D19" s="12" t="s">
        <v>26</v>
      </c>
      <c r="E19" s="15">
        <v>52</v>
      </c>
      <c r="F19" s="15">
        <v>58</v>
      </c>
      <c r="G19" s="15">
        <v>55</v>
      </c>
      <c r="H19" s="15">
        <v>46</v>
      </c>
      <c r="I19" s="16">
        <f t="shared" si="0"/>
        <v>364</v>
      </c>
      <c r="J19" s="16">
        <f t="shared" si="3"/>
        <v>406</v>
      </c>
      <c r="K19" s="16">
        <f t="shared" si="4"/>
        <v>385</v>
      </c>
      <c r="L19" s="16">
        <f t="shared" si="5"/>
        <v>322</v>
      </c>
      <c r="M19" s="18">
        <f t="array" ref="M19">IF(COUNT(E19:F19)=0,"",SUM(E19:F19))</f>
        <v>110</v>
      </c>
      <c r="N19" s="16">
        <f t="array" ref="N19">IF(COUNT(E19:F19)=0,"",SUM(I19:J19))</f>
        <v>770</v>
      </c>
      <c r="O19" s="18">
        <f t="array" ref="O19">IF(COUNT(G19:H19)=0,"",SUM(G19:H19))</f>
        <v>101</v>
      </c>
      <c r="P19" s="16">
        <f t="array" ref="P19">IF(COUNT(G19:H19)=0,"",SUM(K19:L19))</f>
        <v>707</v>
      </c>
      <c r="Q19" s="19">
        <f t="shared" si="1"/>
        <v>-0.0818181818181818</v>
      </c>
      <c r="R19" s="19">
        <f t="shared" si="2"/>
        <v>-0.0818181818181818</v>
      </c>
      <c r="S19" s="21" t="s">
        <v>27</v>
      </c>
    </row>
    <row r="20" spans="1:19">
      <c r="A20" s="12">
        <v>18</v>
      </c>
      <c r="B20" s="13" t="s">
        <v>41</v>
      </c>
      <c r="C20" s="14">
        <v>7</v>
      </c>
      <c r="D20" s="12" t="s">
        <v>26</v>
      </c>
      <c r="E20" s="15">
        <v>32</v>
      </c>
      <c r="F20" s="15">
        <v>35</v>
      </c>
      <c r="G20" s="15">
        <v>31</v>
      </c>
      <c r="H20" s="15">
        <v>28</v>
      </c>
      <c r="I20" s="16">
        <f t="shared" si="0"/>
        <v>224</v>
      </c>
      <c r="J20" s="16">
        <f t="shared" si="3"/>
        <v>245</v>
      </c>
      <c r="K20" s="16">
        <f t="shared" si="4"/>
        <v>217</v>
      </c>
      <c r="L20" s="16">
        <f t="shared" si="5"/>
        <v>196</v>
      </c>
      <c r="M20" s="18">
        <f t="array" ref="M20">IF(COUNT(E20:F20)=0,"",SUM(E20:F20))</f>
        <v>67</v>
      </c>
      <c r="N20" s="16">
        <f t="array" ref="N20">IF(COUNT(E20:F20)=0,"",SUM(I20:J20))</f>
        <v>469</v>
      </c>
      <c r="O20" s="18">
        <f t="array" ref="O20">IF(COUNT(G20:H20)=0,"",SUM(G20:H20))</f>
        <v>59</v>
      </c>
      <c r="P20" s="16">
        <f t="array" ref="P20">IF(COUNT(G20:H20)=0,"",SUM(K20:L20))</f>
        <v>413</v>
      </c>
      <c r="Q20" s="19">
        <f t="shared" si="1"/>
        <v>-0.119402985074627</v>
      </c>
      <c r="R20" s="19">
        <f t="shared" si="2"/>
        <v>-0.119402985074627</v>
      </c>
      <c r="S20" s="21" t="s">
        <v>27</v>
      </c>
    </row>
    <row r="21" spans="1:19">
      <c r="A21" s="12">
        <v>19</v>
      </c>
      <c r="B21" s="13" t="s">
        <v>42</v>
      </c>
      <c r="C21" s="14">
        <v>8</v>
      </c>
      <c r="D21" s="12" t="s">
        <v>26</v>
      </c>
      <c r="E21" s="15">
        <v>45</v>
      </c>
      <c r="F21" s="15">
        <v>49</v>
      </c>
      <c r="G21" s="15">
        <v>47</v>
      </c>
      <c r="H21" s="15">
        <v>39</v>
      </c>
      <c r="I21" s="16">
        <f t="shared" si="0"/>
        <v>360</v>
      </c>
      <c r="J21" s="16">
        <f t="shared" si="3"/>
        <v>392</v>
      </c>
      <c r="K21" s="16">
        <f t="shared" si="4"/>
        <v>376</v>
      </c>
      <c r="L21" s="16">
        <f t="shared" si="5"/>
        <v>312</v>
      </c>
      <c r="M21" s="18">
        <f t="array" ref="M21">IF(COUNT(E21:F21)=0,"",SUM(E21:F21))</f>
        <v>94</v>
      </c>
      <c r="N21" s="16">
        <f t="array" ref="N21">IF(COUNT(E21:F21)=0,"",SUM(I21:J21))</f>
        <v>752</v>
      </c>
      <c r="O21" s="18">
        <f t="array" ref="O21">IF(COUNT(G21:H21)=0,"",SUM(G21:H21))</f>
        <v>86</v>
      </c>
      <c r="P21" s="16">
        <f t="array" ref="P21">IF(COUNT(G21:H21)=0,"",SUM(K21:L21))</f>
        <v>688</v>
      </c>
      <c r="Q21" s="19">
        <f t="shared" si="1"/>
        <v>-0.0851063829787234</v>
      </c>
      <c r="R21" s="19">
        <f t="shared" si="2"/>
        <v>-0.0851063829787234</v>
      </c>
      <c r="S21" s="21" t="s">
        <v>27</v>
      </c>
    </row>
    <row r="22" spans="1:19">
      <c r="A22" s="12">
        <v>20</v>
      </c>
      <c r="B22" s="13" t="s">
        <v>43</v>
      </c>
      <c r="C22" s="14">
        <v>8</v>
      </c>
      <c r="D22" s="12" t="s">
        <v>26</v>
      </c>
      <c r="E22" s="15">
        <v>30</v>
      </c>
      <c r="F22" s="15">
        <v>34</v>
      </c>
      <c r="G22" s="15">
        <v>32</v>
      </c>
      <c r="H22" s="15">
        <v>26</v>
      </c>
      <c r="I22" s="16">
        <f t="shared" si="0"/>
        <v>240</v>
      </c>
      <c r="J22" s="16">
        <f t="shared" si="3"/>
        <v>272</v>
      </c>
      <c r="K22" s="16">
        <f t="shared" si="4"/>
        <v>256</v>
      </c>
      <c r="L22" s="16">
        <f t="shared" si="5"/>
        <v>208</v>
      </c>
      <c r="M22" s="18">
        <f t="array" ref="M22">IF(COUNT(E22:F22)=0,"",SUM(E22:F22))</f>
        <v>64</v>
      </c>
      <c r="N22" s="16">
        <f t="array" ref="N22">IF(COUNT(E22:F22)=0,"",SUM(I22:J22))</f>
        <v>512</v>
      </c>
      <c r="O22" s="18">
        <f t="array" ref="O22">IF(COUNT(G22:H22)=0,"",SUM(G22:H22))</f>
        <v>58</v>
      </c>
      <c r="P22" s="16">
        <f t="array" ref="P22">IF(COUNT(G22:H22)=0,"",SUM(K22:L22))</f>
        <v>464</v>
      </c>
      <c r="Q22" s="19">
        <f t="shared" si="1"/>
        <v>-0.09375</v>
      </c>
      <c r="R22" s="19">
        <f t="shared" si="2"/>
        <v>-0.09375</v>
      </c>
      <c r="S22" s="21" t="s">
        <v>27</v>
      </c>
    </row>
    <row r="23" spans="1:19">
      <c r="A23" s="12">
        <v>21</v>
      </c>
      <c r="B23" s="13" t="s">
        <v>44</v>
      </c>
      <c r="C23" s="14">
        <v>7</v>
      </c>
      <c r="D23" s="12" t="s">
        <v>26</v>
      </c>
      <c r="E23" s="15">
        <v>21</v>
      </c>
      <c r="F23" s="15">
        <v>24</v>
      </c>
      <c r="G23" s="15">
        <v>21</v>
      </c>
      <c r="H23" s="15">
        <v>19</v>
      </c>
      <c r="I23" s="16">
        <f t="shared" si="0"/>
        <v>147</v>
      </c>
      <c r="J23" s="16">
        <f t="shared" si="3"/>
        <v>168</v>
      </c>
      <c r="K23" s="16">
        <f t="shared" si="4"/>
        <v>147</v>
      </c>
      <c r="L23" s="16">
        <f t="shared" si="5"/>
        <v>133</v>
      </c>
      <c r="M23" s="18">
        <f t="array" ref="M23">IF(COUNT(E23:F23)=0,"",SUM(E23:F23))</f>
        <v>45</v>
      </c>
      <c r="N23" s="16">
        <f t="array" ref="N23">IF(COUNT(E23:F23)=0,"",SUM(I23:J23))</f>
        <v>315</v>
      </c>
      <c r="O23" s="18">
        <f t="array" ref="O23">IF(COUNT(G23:H23)=0,"",SUM(G23:H23))</f>
        <v>40</v>
      </c>
      <c r="P23" s="16">
        <f t="array" ref="P23">IF(COUNT(G23:H23)=0,"",SUM(K23:L23))</f>
        <v>280</v>
      </c>
      <c r="Q23" s="19">
        <f t="shared" si="1"/>
        <v>-0.111111111111111</v>
      </c>
      <c r="R23" s="19">
        <f t="shared" si="2"/>
        <v>-0.111111111111111</v>
      </c>
      <c r="S23" s="21" t="s">
        <v>27</v>
      </c>
    </row>
    <row r="24" spans="1:19">
      <c r="A24" s="12">
        <v>22</v>
      </c>
      <c r="B24" s="13" t="s">
        <v>45</v>
      </c>
      <c r="C24" s="14">
        <v>8</v>
      </c>
      <c r="D24" s="12" t="s">
        <v>26</v>
      </c>
      <c r="E24" s="15">
        <v>27</v>
      </c>
      <c r="F24" s="15">
        <v>31</v>
      </c>
      <c r="G24" s="15">
        <v>30</v>
      </c>
      <c r="H24" s="15">
        <v>25</v>
      </c>
      <c r="I24" s="16">
        <f t="shared" si="0"/>
        <v>216</v>
      </c>
      <c r="J24" s="16">
        <f t="shared" si="3"/>
        <v>248</v>
      </c>
      <c r="K24" s="16">
        <f t="shared" si="4"/>
        <v>240</v>
      </c>
      <c r="L24" s="16">
        <f t="shared" si="5"/>
        <v>200</v>
      </c>
      <c r="M24" s="18">
        <f t="array" ref="M24">IF(COUNT(E24:F24)=0,"",SUM(E24:F24))</f>
        <v>58</v>
      </c>
      <c r="N24" s="16">
        <f t="array" ref="N24">IF(COUNT(E24:F24)=0,"",SUM(I24:J24))</f>
        <v>464</v>
      </c>
      <c r="O24" s="18">
        <f t="array" ref="O24">IF(COUNT(G24:H24)=0,"",SUM(G24:H24))</f>
        <v>55</v>
      </c>
      <c r="P24" s="16">
        <f t="array" ref="P24">IF(COUNT(G24:H24)=0,"",SUM(K24:L24))</f>
        <v>440</v>
      </c>
      <c r="Q24" s="19">
        <f t="shared" si="1"/>
        <v>-0.0517241379310345</v>
      </c>
      <c r="R24" s="19">
        <f t="shared" si="2"/>
        <v>-0.0517241379310345</v>
      </c>
      <c r="S24" s="21" t="s">
        <v>27</v>
      </c>
    </row>
    <row r="25" spans="1:19">
      <c r="A25" s="12">
        <v>23</v>
      </c>
      <c r="B25" s="13" t="s">
        <v>46</v>
      </c>
      <c r="C25" s="14">
        <v>8</v>
      </c>
      <c r="D25" s="12" t="s">
        <v>26</v>
      </c>
      <c r="E25" s="15">
        <v>18</v>
      </c>
      <c r="F25" s="15">
        <v>23</v>
      </c>
      <c r="G25" s="15">
        <v>21</v>
      </c>
      <c r="H25" s="15">
        <v>19</v>
      </c>
      <c r="I25" s="16">
        <f t="shared" si="0"/>
        <v>144</v>
      </c>
      <c r="J25" s="16">
        <f t="shared" si="3"/>
        <v>184</v>
      </c>
      <c r="K25" s="16">
        <f t="shared" si="4"/>
        <v>168</v>
      </c>
      <c r="L25" s="16">
        <f t="shared" si="5"/>
        <v>152</v>
      </c>
      <c r="M25" s="18">
        <f t="array" ref="M25">IF(COUNT(E25:F25)=0,"",SUM(E25:F25))</f>
        <v>41</v>
      </c>
      <c r="N25" s="16">
        <f t="array" ref="N25">IF(COUNT(E25:F25)=0,"",SUM(I25:J25))</f>
        <v>328</v>
      </c>
      <c r="O25" s="18">
        <f t="array" ref="O25">IF(COUNT(G25:H25)=0,"",SUM(G25:H25))</f>
        <v>40</v>
      </c>
      <c r="P25" s="16">
        <f t="array" ref="P25">IF(COUNT(G25:H25)=0,"",SUM(K25:L25))</f>
        <v>320</v>
      </c>
      <c r="Q25" s="19">
        <f t="shared" si="1"/>
        <v>-0.024390243902439</v>
      </c>
      <c r="R25" s="19">
        <f t="shared" si="2"/>
        <v>-0.024390243902439</v>
      </c>
      <c r="S25" s="21" t="s">
        <v>27</v>
      </c>
    </row>
    <row r="26" spans="1:19">
      <c r="A26" s="12">
        <v>24</v>
      </c>
      <c r="B26" s="13" t="s">
        <v>47</v>
      </c>
      <c r="C26" s="14">
        <v>9</v>
      </c>
      <c r="D26" s="12" t="s">
        <v>26</v>
      </c>
      <c r="E26" s="15">
        <v>17</v>
      </c>
      <c r="F26" s="15">
        <v>22</v>
      </c>
      <c r="G26" s="15">
        <v>20</v>
      </c>
      <c r="H26" s="15">
        <v>18</v>
      </c>
      <c r="I26" s="16">
        <f t="shared" si="0"/>
        <v>153</v>
      </c>
      <c r="J26" s="16">
        <f t="shared" si="3"/>
        <v>198</v>
      </c>
      <c r="K26" s="16">
        <f t="shared" si="4"/>
        <v>180</v>
      </c>
      <c r="L26" s="16">
        <f t="shared" si="5"/>
        <v>162</v>
      </c>
      <c r="M26" s="18">
        <f t="array" ref="M26">IF(COUNT(E26:F26)=0,"",SUM(E26:F26))</f>
        <v>39</v>
      </c>
      <c r="N26" s="16">
        <f t="array" ref="N26">IF(COUNT(E26:F26)=0,"",SUM(I26:J26))</f>
        <v>351</v>
      </c>
      <c r="O26" s="18">
        <f t="array" ref="O26">IF(COUNT(G26:H26)=0,"",SUM(G26:H26))</f>
        <v>38</v>
      </c>
      <c r="P26" s="16">
        <f t="array" ref="P26">IF(COUNT(G26:H26)=0,"",SUM(K26:L26))</f>
        <v>342</v>
      </c>
      <c r="Q26" s="19">
        <f t="shared" si="1"/>
        <v>-0.0256410256410257</v>
      </c>
      <c r="R26" s="19">
        <f t="shared" si="2"/>
        <v>-0.0256410256410257</v>
      </c>
      <c r="S26" s="21" t="s">
        <v>27</v>
      </c>
    </row>
    <row r="27" spans="1:19">
      <c r="A27" s="12">
        <v>25</v>
      </c>
      <c r="B27" s="13" t="s">
        <v>48</v>
      </c>
      <c r="C27" s="14">
        <v>8</v>
      </c>
      <c r="D27" s="12" t="s">
        <v>26</v>
      </c>
      <c r="E27" s="15">
        <v>20</v>
      </c>
      <c r="F27" s="15">
        <v>23</v>
      </c>
      <c r="G27" s="15">
        <v>21</v>
      </c>
      <c r="H27" s="15">
        <v>19</v>
      </c>
      <c r="I27" s="16">
        <f t="shared" si="0"/>
        <v>160</v>
      </c>
      <c r="J27" s="16">
        <f t="shared" si="3"/>
        <v>184</v>
      </c>
      <c r="K27" s="16">
        <f t="shared" si="4"/>
        <v>168</v>
      </c>
      <c r="L27" s="16">
        <f t="shared" si="5"/>
        <v>152</v>
      </c>
      <c r="M27" s="18">
        <f t="array" ref="M27">IF(COUNT(E27:F27)=0,"",SUM(E27:F27))</f>
        <v>43</v>
      </c>
      <c r="N27" s="16">
        <f t="array" ref="N27">IF(COUNT(E27:F27)=0,"",SUM(I27:J27))</f>
        <v>344</v>
      </c>
      <c r="O27" s="18">
        <f t="array" ref="O27">IF(COUNT(G27:H27)=0,"",SUM(G27:H27))</f>
        <v>40</v>
      </c>
      <c r="P27" s="16">
        <f t="array" ref="P27">IF(COUNT(G27:H27)=0,"",SUM(K27:L27))</f>
        <v>320</v>
      </c>
      <c r="Q27" s="19">
        <f t="shared" si="1"/>
        <v>-0.0697674418604651</v>
      </c>
      <c r="R27" s="19">
        <f t="shared" si="2"/>
        <v>-0.0697674418604651</v>
      </c>
      <c r="S27" s="21" t="s">
        <v>27</v>
      </c>
    </row>
    <row r="28" spans="1:19">
      <c r="A28" s="12">
        <v>26</v>
      </c>
      <c r="B28" s="13" t="s">
        <v>49</v>
      </c>
      <c r="C28" s="14">
        <v>8</v>
      </c>
      <c r="D28" s="12" t="s">
        <v>26</v>
      </c>
      <c r="E28" s="15">
        <v>15</v>
      </c>
      <c r="F28" s="15">
        <v>19</v>
      </c>
      <c r="G28" s="15">
        <v>17</v>
      </c>
      <c r="H28" s="15">
        <v>16</v>
      </c>
      <c r="I28" s="16">
        <f t="shared" si="0"/>
        <v>120</v>
      </c>
      <c r="J28" s="16">
        <f t="shared" si="3"/>
        <v>152</v>
      </c>
      <c r="K28" s="16">
        <f t="shared" si="4"/>
        <v>136</v>
      </c>
      <c r="L28" s="16">
        <f t="shared" si="5"/>
        <v>128</v>
      </c>
      <c r="M28" s="18">
        <f t="array" ref="M28">IF(COUNT(E28:F28)=0,"",SUM(E28:F28))</f>
        <v>34</v>
      </c>
      <c r="N28" s="16">
        <f t="array" ref="N28">IF(COUNT(E28:F28)=0,"",SUM(I28:J28))</f>
        <v>272</v>
      </c>
      <c r="O28" s="18">
        <f t="array" ref="O28">IF(COUNT(G28:H28)=0,"",SUM(G28:H28))</f>
        <v>33</v>
      </c>
      <c r="P28" s="16">
        <f t="array" ref="P28">IF(COUNT(G28:H28)=0,"",SUM(K28:L28))</f>
        <v>264</v>
      </c>
      <c r="Q28" s="19">
        <f t="shared" si="1"/>
        <v>-0.0294117647058824</v>
      </c>
      <c r="R28" s="19">
        <f t="shared" si="2"/>
        <v>-0.0294117647058824</v>
      </c>
      <c r="S28" s="21" t="s">
        <v>27</v>
      </c>
    </row>
    <row r="29" spans="1:19">
      <c r="A29" s="12">
        <v>27</v>
      </c>
      <c r="B29" s="13" t="s">
        <v>50</v>
      </c>
      <c r="C29" s="14">
        <v>8</v>
      </c>
      <c r="D29" s="12" t="s">
        <v>26</v>
      </c>
      <c r="E29" s="15">
        <v>8</v>
      </c>
      <c r="F29" s="15">
        <v>12</v>
      </c>
      <c r="G29" s="15">
        <v>10</v>
      </c>
      <c r="H29" s="15">
        <v>9</v>
      </c>
      <c r="I29" s="16">
        <f t="shared" si="0"/>
        <v>64</v>
      </c>
      <c r="J29" s="16">
        <f t="shared" si="3"/>
        <v>96</v>
      </c>
      <c r="K29" s="16">
        <f t="shared" si="4"/>
        <v>80</v>
      </c>
      <c r="L29" s="16">
        <f t="shared" si="5"/>
        <v>72</v>
      </c>
      <c r="M29" s="18">
        <f t="array" ref="M29">IF(COUNT(E29:F29)=0,"",SUM(E29:F29))</f>
        <v>20</v>
      </c>
      <c r="N29" s="16">
        <f t="array" ref="N29">IF(COUNT(E29:F29)=0,"",SUM(I29:J29))</f>
        <v>160</v>
      </c>
      <c r="O29" s="18">
        <f t="array" ref="O29">IF(COUNT(G29:H29)=0,"",SUM(G29:H29))</f>
        <v>19</v>
      </c>
      <c r="P29" s="16">
        <f t="array" ref="P29">IF(COUNT(G29:H29)=0,"",SUM(K29:L29))</f>
        <v>152</v>
      </c>
      <c r="Q29" s="19">
        <f t="shared" si="1"/>
        <v>-0.05</v>
      </c>
      <c r="R29" s="19">
        <f t="shared" si="2"/>
        <v>-0.05</v>
      </c>
      <c r="S29" s="21" t="s">
        <v>27</v>
      </c>
    </row>
    <row r="30" spans="1:19">
      <c r="A30" s="12">
        <v>28</v>
      </c>
      <c r="B30" s="13" t="s">
        <v>51</v>
      </c>
      <c r="C30" s="14">
        <v>10</v>
      </c>
      <c r="D30" s="12" t="s">
        <v>26</v>
      </c>
      <c r="E30" s="15">
        <v>14</v>
      </c>
      <c r="F30" s="15">
        <v>18</v>
      </c>
      <c r="G30" s="15">
        <v>16</v>
      </c>
      <c r="H30" s="15">
        <v>15</v>
      </c>
      <c r="I30" s="16">
        <f t="shared" si="0"/>
        <v>140</v>
      </c>
      <c r="J30" s="16">
        <f t="shared" si="3"/>
        <v>180</v>
      </c>
      <c r="K30" s="16">
        <f t="shared" si="4"/>
        <v>160</v>
      </c>
      <c r="L30" s="16">
        <f t="shared" si="5"/>
        <v>150</v>
      </c>
      <c r="M30" s="18">
        <f t="array" ref="M30">IF(COUNT(E30:F30)=0,"",SUM(E30:F30))</f>
        <v>32</v>
      </c>
      <c r="N30" s="16">
        <f t="array" ref="N30">IF(COUNT(E30:F30)=0,"",SUM(I30:J30))</f>
        <v>320</v>
      </c>
      <c r="O30" s="18">
        <f t="array" ref="O30">IF(COUNT(G30:H30)=0,"",SUM(G30:H30))</f>
        <v>31</v>
      </c>
      <c r="P30" s="16">
        <f t="array" ref="P30">IF(COUNT(G30:H30)=0,"",SUM(K30:L30))</f>
        <v>310</v>
      </c>
      <c r="Q30" s="19">
        <f t="shared" si="1"/>
        <v>-0.03125</v>
      </c>
      <c r="R30" s="19">
        <f t="shared" si="2"/>
        <v>-0.03125</v>
      </c>
      <c r="S30" s="21" t="s">
        <v>27</v>
      </c>
    </row>
    <row r="31" spans="1:19">
      <c r="A31" s="12">
        <v>29</v>
      </c>
      <c r="B31" s="13" t="s">
        <v>52</v>
      </c>
      <c r="C31" s="14">
        <v>10</v>
      </c>
      <c r="D31" s="12" t="s">
        <v>26</v>
      </c>
      <c r="E31" s="15">
        <v>12</v>
      </c>
      <c r="F31" s="15">
        <v>15</v>
      </c>
      <c r="G31" s="15">
        <v>13</v>
      </c>
      <c r="H31" s="15">
        <v>12</v>
      </c>
      <c r="I31" s="16">
        <f t="shared" si="0"/>
        <v>120</v>
      </c>
      <c r="J31" s="16">
        <f t="shared" si="3"/>
        <v>150</v>
      </c>
      <c r="K31" s="16">
        <f t="shared" si="4"/>
        <v>130</v>
      </c>
      <c r="L31" s="16">
        <f t="shared" si="5"/>
        <v>120</v>
      </c>
      <c r="M31" s="18">
        <f t="array" ref="M31">IF(COUNT(E31:F31)=0,"",SUM(E31:F31))</f>
        <v>27</v>
      </c>
      <c r="N31" s="16">
        <f t="array" ref="N31">IF(COUNT(E31:F31)=0,"",SUM(I31:J31))</f>
        <v>270</v>
      </c>
      <c r="O31" s="18">
        <f t="array" ref="O31">IF(COUNT(G31:H31)=0,"",SUM(G31:H31))</f>
        <v>25</v>
      </c>
      <c r="P31" s="16">
        <f t="array" ref="P31">IF(COUNT(G31:H31)=0,"",SUM(K31:L31))</f>
        <v>250</v>
      </c>
      <c r="Q31" s="19">
        <f t="shared" si="1"/>
        <v>-0.0740740740740741</v>
      </c>
      <c r="R31" s="19">
        <f t="shared" si="2"/>
        <v>-0.0740740740740741</v>
      </c>
      <c r="S31" s="21" t="s">
        <v>27</v>
      </c>
    </row>
    <row r="32" spans="1:19">
      <c r="A32" s="12">
        <v>30</v>
      </c>
      <c r="B32" s="13" t="s">
        <v>53</v>
      </c>
      <c r="C32" s="14">
        <v>4</v>
      </c>
      <c r="D32" s="12" t="s">
        <v>26</v>
      </c>
      <c r="E32" s="15">
        <v>26</v>
      </c>
      <c r="F32" s="15">
        <v>33</v>
      </c>
      <c r="G32" s="15">
        <v>32</v>
      </c>
      <c r="H32" s="15">
        <v>28</v>
      </c>
      <c r="I32" s="16">
        <f t="shared" si="0"/>
        <v>104</v>
      </c>
      <c r="J32" s="16">
        <f t="shared" si="3"/>
        <v>132</v>
      </c>
      <c r="K32" s="16">
        <f t="shared" si="4"/>
        <v>128</v>
      </c>
      <c r="L32" s="16">
        <f t="shared" si="5"/>
        <v>112</v>
      </c>
      <c r="M32" s="18">
        <f t="array" ref="M32">IF(COUNT(E32:F32)=0,"",SUM(E32:F32))</f>
        <v>59</v>
      </c>
      <c r="N32" s="16">
        <f t="array" ref="N32">IF(COUNT(E32:F32)=0,"",SUM(I32:J32))</f>
        <v>236</v>
      </c>
      <c r="O32" s="18">
        <f t="array" ref="O32">IF(COUNT(G32:H32)=0,"",SUM(G32:H32))</f>
        <v>60</v>
      </c>
      <c r="P32" s="16">
        <f t="array" ref="P32">IF(COUNT(G32:H32)=0,"",SUM(K32:L32))</f>
        <v>240</v>
      </c>
      <c r="Q32" s="19">
        <f t="shared" si="1"/>
        <v>0.0169491525423728</v>
      </c>
      <c r="R32" s="19">
        <f t="shared" si="2"/>
        <v>0.0169491525423728</v>
      </c>
      <c r="S32" s="21" t="s">
        <v>27</v>
      </c>
    </row>
    <row r="33" spans="1:19">
      <c r="A33" s="12">
        <v>31</v>
      </c>
      <c r="B33" s="13" t="s">
        <v>54</v>
      </c>
      <c r="C33" s="14">
        <v>4</v>
      </c>
      <c r="D33" s="12" t="s">
        <v>26</v>
      </c>
      <c r="E33" s="15">
        <v>24</v>
      </c>
      <c r="F33" s="15">
        <v>30</v>
      </c>
      <c r="G33" s="15">
        <v>29</v>
      </c>
      <c r="H33" s="15">
        <v>24</v>
      </c>
      <c r="I33" s="16">
        <f t="shared" si="0"/>
        <v>96</v>
      </c>
      <c r="J33" s="16">
        <f t="shared" si="3"/>
        <v>120</v>
      </c>
      <c r="K33" s="16">
        <f t="shared" si="4"/>
        <v>116</v>
      </c>
      <c r="L33" s="16">
        <f t="shared" si="5"/>
        <v>96</v>
      </c>
      <c r="M33" s="18">
        <f t="array" ref="M33">IF(COUNT(E33:F33)=0,"",SUM(E33:F33))</f>
        <v>54</v>
      </c>
      <c r="N33" s="16">
        <f t="array" ref="N33">IF(COUNT(E33:F33)=0,"",SUM(I33:J33))</f>
        <v>216</v>
      </c>
      <c r="O33" s="18">
        <f t="array" ref="O33">IF(COUNT(G33:H33)=0,"",SUM(G33:H33))</f>
        <v>53</v>
      </c>
      <c r="P33" s="16">
        <f t="array" ref="P33">IF(COUNT(G33:H33)=0,"",SUM(K33:L33))</f>
        <v>212</v>
      </c>
      <c r="Q33" s="19">
        <f t="shared" si="1"/>
        <v>-0.0185185185185185</v>
      </c>
      <c r="R33" s="19">
        <f t="shared" si="2"/>
        <v>-0.0185185185185185</v>
      </c>
      <c r="S33" s="21" t="s">
        <v>27</v>
      </c>
    </row>
    <row r="34" spans="1:19">
      <c r="A34" s="12">
        <v>32</v>
      </c>
      <c r="B34" s="13" t="s">
        <v>55</v>
      </c>
      <c r="C34" s="14">
        <v>4</v>
      </c>
      <c r="D34" s="12" t="s">
        <v>26</v>
      </c>
      <c r="E34" s="15">
        <v>20</v>
      </c>
      <c r="F34" s="15">
        <v>25</v>
      </c>
      <c r="G34" s="15">
        <v>22</v>
      </c>
      <c r="H34" s="15">
        <v>20</v>
      </c>
      <c r="I34" s="16">
        <f t="shared" si="0"/>
        <v>80</v>
      </c>
      <c r="J34" s="16">
        <f t="shared" si="3"/>
        <v>100</v>
      </c>
      <c r="K34" s="16">
        <f t="shared" si="4"/>
        <v>88</v>
      </c>
      <c r="L34" s="16">
        <f t="shared" si="5"/>
        <v>80</v>
      </c>
      <c r="M34" s="18">
        <f t="array" ref="M34">IF(COUNT(E34:F34)=0,"",SUM(E34:F34))</f>
        <v>45</v>
      </c>
      <c r="N34" s="16">
        <f t="array" ref="N34">IF(COUNT(E34:F34)=0,"",SUM(I34:J34))</f>
        <v>180</v>
      </c>
      <c r="O34" s="18">
        <f t="array" ref="O34">IF(COUNT(G34:H34)=0,"",SUM(G34:H34))</f>
        <v>42</v>
      </c>
      <c r="P34" s="16">
        <f t="array" ref="P34">IF(COUNT(G34:H34)=0,"",SUM(K34:L34))</f>
        <v>168</v>
      </c>
      <c r="Q34" s="19">
        <f t="shared" si="1"/>
        <v>-0.0666666666666667</v>
      </c>
      <c r="R34" s="19">
        <f t="shared" si="2"/>
        <v>-0.0666666666666667</v>
      </c>
      <c r="S34" s="21" t="s">
        <v>27</v>
      </c>
    </row>
    <row r="35" spans="1:19">
      <c r="A35" s="12">
        <v>33</v>
      </c>
      <c r="B35" s="13" t="s">
        <v>56</v>
      </c>
      <c r="C35" s="14">
        <v>8</v>
      </c>
      <c r="D35" s="12" t="s">
        <v>26</v>
      </c>
      <c r="E35" s="15">
        <v>10</v>
      </c>
      <c r="F35" s="15">
        <v>13</v>
      </c>
      <c r="G35" s="15">
        <v>12</v>
      </c>
      <c r="H35" s="15">
        <v>11</v>
      </c>
      <c r="I35" s="16">
        <f t="shared" si="0"/>
        <v>80</v>
      </c>
      <c r="J35" s="16">
        <f t="shared" si="3"/>
        <v>104</v>
      </c>
      <c r="K35" s="16">
        <f t="shared" si="4"/>
        <v>96</v>
      </c>
      <c r="L35" s="16">
        <f t="shared" si="5"/>
        <v>88</v>
      </c>
      <c r="M35" s="18">
        <f t="array" ref="M35">IF(COUNT(E35:F35)=0,"",SUM(E35:F35))</f>
        <v>23</v>
      </c>
      <c r="N35" s="16">
        <f t="array" ref="N35">IF(COUNT(E35:F35)=0,"",SUM(I35:J35))</f>
        <v>184</v>
      </c>
      <c r="O35" s="18">
        <f t="array" ref="O35">IF(COUNT(G35:H35)=0,"",SUM(G35:H35))</f>
        <v>23</v>
      </c>
      <c r="P35" s="16">
        <f t="array" ref="P35">IF(COUNT(G35:H35)=0,"",SUM(K35:L35))</f>
        <v>184</v>
      </c>
      <c r="Q35" s="19">
        <f t="shared" si="1"/>
        <v>0</v>
      </c>
      <c r="R35" s="19">
        <f t="shared" si="2"/>
        <v>0</v>
      </c>
      <c r="S35" s="21" t="s">
        <v>27</v>
      </c>
    </row>
    <row r="36" spans="1:19">
      <c r="A36" s="12">
        <v>34</v>
      </c>
      <c r="B36" s="13" t="s">
        <v>57</v>
      </c>
      <c r="C36" s="14">
        <v>10</v>
      </c>
      <c r="D36" s="12" t="s">
        <v>26</v>
      </c>
      <c r="E36" s="15">
        <v>21</v>
      </c>
      <c r="F36" s="15">
        <v>22</v>
      </c>
      <c r="G36" s="15">
        <v>20</v>
      </c>
      <c r="H36" s="15">
        <v>17</v>
      </c>
      <c r="I36" s="16">
        <f t="shared" si="0"/>
        <v>210</v>
      </c>
      <c r="J36" s="16">
        <f t="shared" si="3"/>
        <v>220</v>
      </c>
      <c r="K36" s="16">
        <f t="shared" si="4"/>
        <v>200</v>
      </c>
      <c r="L36" s="16">
        <f t="shared" si="5"/>
        <v>170</v>
      </c>
      <c r="M36" s="18">
        <f t="array" ref="M36">IF(COUNT(E36:F36)=0,"",SUM(E36:F36))</f>
        <v>43</v>
      </c>
      <c r="N36" s="16">
        <f t="array" ref="N36">IF(COUNT(E36:F36)=0,"",SUM(I36:J36))</f>
        <v>430</v>
      </c>
      <c r="O36" s="18">
        <f t="array" ref="O36">IF(COUNT(G36:H36)=0,"",SUM(G36:H36))</f>
        <v>37</v>
      </c>
      <c r="P36" s="16">
        <f t="array" ref="P36">IF(COUNT(G36:H36)=0,"",SUM(K36:L36))</f>
        <v>370</v>
      </c>
      <c r="Q36" s="19">
        <f t="shared" si="1"/>
        <v>-0.13953488372093</v>
      </c>
      <c r="R36" s="19">
        <f t="shared" si="2"/>
        <v>-0.13953488372093</v>
      </c>
      <c r="S36" s="21" t="s">
        <v>27</v>
      </c>
    </row>
    <row r="37" spans="1:19">
      <c r="A37" s="12">
        <v>35</v>
      </c>
      <c r="B37" s="13" t="s">
        <v>58</v>
      </c>
      <c r="C37" s="14">
        <v>10</v>
      </c>
      <c r="D37" s="12" t="s">
        <v>26</v>
      </c>
      <c r="E37" s="15">
        <v>20</v>
      </c>
      <c r="F37" s="15">
        <v>22</v>
      </c>
      <c r="G37" s="15">
        <v>20</v>
      </c>
      <c r="H37" s="15">
        <v>17</v>
      </c>
      <c r="I37" s="16">
        <f t="shared" si="0"/>
        <v>200</v>
      </c>
      <c r="J37" s="16">
        <f t="shared" si="3"/>
        <v>220</v>
      </c>
      <c r="K37" s="16">
        <f t="shared" si="4"/>
        <v>200</v>
      </c>
      <c r="L37" s="16">
        <f t="shared" si="5"/>
        <v>170</v>
      </c>
      <c r="M37" s="18">
        <f t="array" ref="M37">IF(COUNT(E37:F37)=0,"",SUM(E37:F37))</f>
        <v>42</v>
      </c>
      <c r="N37" s="16">
        <f t="array" ref="N37">IF(COUNT(E37:F37)=0,"",SUM(I37:J37))</f>
        <v>420</v>
      </c>
      <c r="O37" s="18">
        <f t="array" ref="O37">IF(COUNT(G37:H37)=0,"",SUM(G37:H37))</f>
        <v>37</v>
      </c>
      <c r="P37" s="16">
        <f t="array" ref="P37">IF(COUNT(G37:H37)=0,"",SUM(K37:L37))</f>
        <v>370</v>
      </c>
      <c r="Q37" s="19">
        <f t="shared" si="1"/>
        <v>-0.119047619047619</v>
      </c>
      <c r="R37" s="19">
        <f t="shared" si="2"/>
        <v>-0.119047619047619</v>
      </c>
      <c r="S37" s="21" t="s">
        <v>27</v>
      </c>
    </row>
    <row r="38" spans="1:19">
      <c r="A38" s="12">
        <v>36</v>
      </c>
      <c r="B38" s="13" t="s">
        <v>59</v>
      </c>
      <c r="C38" s="14">
        <v>10</v>
      </c>
      <c r="D38" s="12" t="s">
        <v>26</v>
      </c>
      <c r="E38" s="15">
        <v>16</v>
      </c>
      <c r="F38" s="15">
        <v>18</v>
      </c>
      <c r="G38" s="15">
        <v>16</v>
      </c>
      <c r="H38" s="15">
        <v>14</v>
      </c>
      <c r="I38" s="16">
        <f t="shared" si="0"/>
        <v>160</v>
      </c>
      <c r="J38" s="16">
        <f t="shared" si="3"/>
        <v>180</v>
      </c>
      <c r="K38" s="16">
        <f t="shared" si="4"/>
        <v>160</v>
      </c>
      <c r="L38" s="16">
        <f t="shared" si="5"/>
        <v>140</v>
      </c>
      <c r="M38" s="18">
        <f t="array" ref="M38">IF(COUNT(E38:F38)=0,"",SUM(E38:F38))</f>
        <v>34</v>
      </c>
      <c r="N38" s="16">
        <f t="array" ref="N38">IF(COUNT(E38:F38)=0,"",SUM(I38:J38))</f>
        <v>340</v>
      </c>
      <c r="O38" s="18">
        <f t="array" ref="O38">IF(COUNT(G38:H38)=0,"",SUM(G38:H38))</f>
        <v>30</v>
      </c>
      <c r="P38" s="16">
        <f t="array" ref="P38">IF(COUNT(G38:H38)=0,"",SUM(K38:L38))</f>
        <v>300</v>
      </c>
      <c r="Q38" s="19">
        <f t="shared" si="1"/>
        <v>-0.117647058823529</v>
      </c>
      <c r="R38" s="19">
        <f t="shared" si="2"/>
        <v>-0.117647058823529</v>
      </c>
      <c r="S38" s="21" t="s">
        <v>27</v>
      </c>
    </row>
    <row r="39" spans="1:19">
      <c r="A39" s="22" t="s">
        <v>27</v>
      </c>
      <c r="B39" s="22" t="s">
        <v>60</v>
      </c>
      <c r="C39" s="22" t="s">
        <v>27</v>
      </c>
      <c r="D39" s="22" t="s">
        <v>27</v>
      </c>
      <c r="E39" s="23">
        <f t="shared" ref="E39:P39" si="6">SUM(E3:E38)</f>
        <v>770</v>
      </c>
      <c r="F39" s="23">
        <f t="shared" si="6"/>
        <v>1208</v>
      </c>
      <c r="G39" s="23">
        <f t="shared" si="6"/>
        <v>1124</v>
      </c>
      <c r="H39" s="23">
        <f t="shared" si="6"/>
        <v>1010</v>
      </c>
      <c r="I39" s="24">
        <f t="shared" si="6"/>
        <v>6239</v>
      </c>
      <c r="J39" s="24">
        <f t="shared" si="6"/>
        <v>9113</v>
      </c>
      <c r="K39" s="24">
        <f t="shared" si="6"/>
        <v>8445</v>
      </c>
      <c r="L39" s="24">
        <f t="shared" si="6"/>
        <v>7558</v>
      </c>
      <c r="M39" s="24">
        <f t="shared" si="6"/>
        <v>1978</v>
      </c>
      <c r="N39" s="24">
        <f t="shared" si="6"/>
        <v>15352</v>
      </c>
      <c r="O39" s="24">
        <f t="shared" si="6"/>
        <v>2134</v>
      </c>
      <c r="P39" s="24">
        <f t="shared" si="6"/>
        <v>16003</v>
      </c>
      <c r="Q39" s="25">
        <f t="shared" si="1"/>
        <v>0.0788675429726997</v>
      </c>
      <c r="R39" s="25">
        <f t="shared" si="2"/>
        <v>0.0424048983845753</v>
      </c>
      <c r="S39" s="22" t="s">
        <v>27</v>
      </c>
    </row>
  </sheetData>
  <autoFilter xmlns:etc="http://www.wps.cn/officeDocument/2017/etCustomData" ref="A2:S39" etc:filterBottomFollowUsedRange="0">
    <extLst/>
  </autoFilter>
  <mergeCells count="1">
    <mergeCell ref="A1:S1"/>
  </mergeCells>
  <conditionalFormatting sqref="Q3:Q39">
    <cfRule type="cellIs" dxfId="0" priority="1" operator="greaterThan">
      <formula>0</formula>
    </cfRule>
    <cfRule type="cellIs" dxfId="1" priority="2" operator="lessThan">
      <formula>0</formula>
    </cfRule>
  </conditionalFormatting>
  <conditionalFormatting sqref="R3:R39">
    <cfRule type="cellIs" dxfId="0" priority="3" operator="greaterThan">
      <formula>0</formula>
    </cfRule>
    <cfRule type="cellIs" dxfId="1" priority="4" operator="lessThan">
      <formula>0</formula>
    </cfRule>
  </conditionalFormatting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26"/>
  <sheetViews>
    <sheetView tabSelected="1" workbookViewId="0">
      <selection activeCell="G27" sqref="G27"/>
    </sheetView>
  </sheetViews>
  <sheetFormatPr defaultColWidth="8.88888888888889" defaultRowHeight="14.4" outlineLevelCol="4"/>
  <cols>
    <col min="1" max="1" width="7.88888888888889"/>
    <col min="2" max="5" width="24.2222222222222"/>
  </cols>
  <sheetData>
    <row r="2" spans="1:5">
      <c r="A2" s="6" t="s">
        <v>61</v>
      </c>
      <c r="B2" s="7"/>
      <c r="C2" s="7"/>
    </row>
    <row r="3" spans="1:5">
      <c r="A3" t="s">
        <v>4</v>
      </c>
      <c r="B3" t="s">
        <v>62</v>
      </c>
      <c r="C3" t="s">
        <v>63</v>
      </c>
    </row>
    <row r="4" spans="1:5">
      <c r="A4" t="s">
        <v>26</v>
      </c>
      <c r="B4">
        <v>1589</v>
      </c>
      <c r="C4">
        <v>1481</v>
      </c>
    </row>
    <row r="5" spans="1:5">
      <c r="A5" t="s">
        <v>21</v>
      </c>
      <c r="B5">
        <v>389</v>
      </c>
      <c r="C5">
        <v>653</v>
      </c>
    </row>
    <row r="6" spans="1:5">
      <c r="A6" t="s">
        <v>64</v>
      </c>
      <c r="B6">
        <v>1978</v>
      </c>
      <c r="C6">
        <v>2134</v>
      </c>
    </row>
    <row r="10" spans="1:5">
      <c r="A10" t="s">
        <v>4</v>
      </c>
      <c r="B10" t="s">
        <v>65</v>
      </c>
      <c r="C10" t="s">
        <v>66</v>
      </c>
      <c r="D10" t="s">
        <v>67</v>
      </c>
      <c r="E10" t="s">
        <v>68</v>
      </c>
    </row>
    <row r="11" spans="1:5">
      <c r="A11" t="s">
        <v>26</v>
      </c>
      <c r="B11">
        <v>48.1515151515152</v>
      </c>
      <c r="C11">
        <v>44.8787878787879</v>
      </c>
      <c r="D11">
        <v>12848</v>
      </c>
      <c r="E11">
        <v>11955</v>
      </c>
    </row>
    <row r="12" spans="1:5">
      <c r="A12" t="s">
        <v>21</v>
      </c>
      <c r="B12">
        <v>129.666666666667</v>
      </c>
      <c r="C12">
        <v>217.666666666667</v>
      </c>
      <c r="D12">
        <v>2504</v>
      </c>
      <c r="E12">
        <v>4048</v>
      </c>
    </row>
    <row r="13" spans="1:5">
      <c r="A13" t="s">
        <v>64</v>
      </c>
      <c r="B13">
        <v>54.9444444444444</v>
      </c>
      <c r="C13">
        <v>59.2777777777778</v>
      </c>
      <c r="D13">
        <v>15352</v>
      </c>
      <c r="E13">
        <v>16003</v>
      </c>
    </row>
    <row r="18" spans="1:5">
      <c r="A18" s="6" t="s">
        <v>69</v>
      </c>
      <c r="B18" s="8"/>
      <c r="C18"/>
      <c r="D18" s="6" t="s">
        <v>70</v>
      </c>
      <c r="E18" s="8"/>
    </row>
    <row r="19" spans="1:5">
      <c r="A19" t="s">
        <v>2</v>
      </c>
      <c r="B19" t="s">
        <v>63</v>
      </c>
      <c r="C19"/>
      <c r="D19" t="s">
        <v>4</v>
      </c>
      <c r="E19" t="s">
        <v>62</v>
      </c>
    </row>
    <row r="20" spans="1:5">
      <c r="A20" t="s">
        <v>23</v>
      </c>
      <c r="B20">
        <v>23</v>
      </c>
      <c r="C20"/>
      <c r="D20" t="s">
        <v>26</v>
      </c>
      <c r="E20" s="9">
        <v>0.803336703741153</v>
      </c>
    </row>
    <row r="21" spans="1:5">
      <c r="A21" t="s">
        <v>24</v>
      </c>
      <c r="B21">
        <v>21</v>
      </c>
      <c r="C21"/>
      <c r="D21" t="s">
        <v>21</v>
      </c>
      <c r="E21" s="9">
        <v>0.196663296258847</v>
      </c>
    </row>
    <row r="22" spans="1:5">
      <c r="A22" t="s">
        <v>40</v>
      </c>
      <c r="B22">
        <v>101</v>
      </c>
      <c r="C22"/>
      <c r="D22" t="s">
        <v>64</v>
      </c>
      <c r="E22" s="9">
        <v>1</v>
      </c>
    </row>
    <row r="23" spans="1:5">
      <c r="A23" t="s">
        <v>20</v>
      </c>
      <c r="B23">
        <v>609</v>
      </c>
    </row>
    <row r="24" spans="1:5">
      <c r="A24" t="s">
        <v>38</v>
      </c>
      <c r="B24">
        <v>48</v>
      </c>
    </row>
    <row r="25" spans="1:5">
      <c r="A25" t="s">
        <v>43</v>
      </c>
      <c r="B25">
        <v>58</v>
      </c>
    </row>
    <row r="26" spans="1:5">
      <c r="A26" t="s">
        <v>64</v>
      </c>
      <c r="B26">
        <v>860</v>
      </c>
    </row>
  </sheetData>
  <mergeCells count="3">
    <mergeCell ref="A2:C2"/>
    <mergeCell ref="A18:B18"/>
    <mergeCell ref="D18:E18"/>
  </mergeCells>
  <pageMargins left="0.75" right="0.75" top="1" bottom="1" header="0.5" footer="0.5"/>
  <headerFooter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B11" sqref="B11"/>
    </sheetView>
  </sheetViews>
  <sheetFormatPr defaultColWidth="9" defaultRowHeight="14.4" outlineLevelRow="4" outlineLevelCol="1"/>
  <cols>
    <col min="1" max="1" width="18" style="1" customWidth="1"/>
    <col min="2" max="2" width="90" style="1" customWidth="1"/>
  </cols>
  <sheetData>
    <row r="1" ht="22" customHeight="1" spans="1:2">
      <c r="A1" s="2" t="s">
        <v>71</v>
      </c>
      <c r="B1" s="3" t="s">
        <v>72</v>
      </c>
    </row>
    <row r="2" ht="32" customHeight="1" spans="1:2">
      <c r="A2" s="4" t="s">
        <v>73</v>
      </c>
      <c r="B2" s="5" t="s">
        <v>74</v>
      </c>
    </row>
    <row r="3" ht="42" customHeight="1" spans="1:2">
      <c r="A3" s="4" t="s">
        <v>75</v>
      </c>
      <c r="B3" s="5" t="s">
        <v>76</v>
      </c>
    </row>
    <row r="4" ht="29" customHeight="1" spans="1:2">
      <c r="A4" s="4" t="s">
        <v>77</v>
      </c>
      <c r="B4" s="5" t="s">
        <v>78</v>
      </c>
    </row>
    <row r="5" ht="45" customHeight="1" spans="1:2">
      <c r="A5" s="4" t="s">
        <v>79</v>
      </c>
      <c r="B5" s="5" t="s">
        <v>80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销售统计对比</vt:lpstr>
      <vt:lpstr>数据透视表</vt:lpstr>
      <vt:lpstr>填表说明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我心之人</cp:lastModifiedBy>
  <dcterms:created xsi:type="dcterms:W3CDTF">2026-10-01T21:43:00Z</dcterms:created>
  <dcterms:modified xsi:type="dcterms:W3CDTF">2026-10-22T12:54:58Z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572FF51F26A341839FC5B3663EAA63E1_12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