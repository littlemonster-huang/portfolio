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1" autoFilterDateGrouping="1"/>
  </bookViews>
  <sheets>
    <sheet xmlns:r="http://schemas.openxmlformats.org/officeDocument/2006/relationships" name="销售统计对比" sheetId="1" state="visible" r:id="rId1"/>
    <sheet xmlns:r="http://schemas.openxmlformats.org/officeDocument/2006/relationships" name="填表说明" sheetId="2" state="visible" r:id="rId2"/>
  </sheets>
  <definedNames>
    <definedName name="_xlnm._FilterDatabase" localSheetId="0" hidden="1">'销售统计对比'!$A$2:$S$39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¥#,##0"/>
    <numFmt numFmtId="165" formatCode="0.0%"/>
    <numFmt numFmtId="166" formatCode="_ \¥* #,##0.00_ ;_ \¥* \-#,##0.00_ ;_ \¥* &quot;-&quot;??_ ;_ @_ "/>
    <numFmt numFmtId="167" formatCode="_ \¥* #,##0_ ;_ \¥* \-#,##0_ ;_ \¥* &quot;-&quot;_ ;_ @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color rgb="FFFFFFFF"/>
      <sz val="14"/>
      <scheme val="minor"/>
    </font>
    <font>
      <name val="宋体"/>
      <charset val="134"/>
      <b val="1"/>
      <color rgb="FFFFFFFF"/>
      <sz val="10"/>
      <scheme val="minor"/>
    </font>
    <font>
      <name val="宋体"/>
      <charset val="134"/>
      <color rgb="FF666666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7">
    <fill>
      <patternFill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166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167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1" fontId="0" fillId="3" borderId="1" applyAlignment="1" pivotButton="0" quotePrefix="0" xfId="0">
      <alignment horizontal="right"/>
    </xf>
    <xf numFmtId="164" fontId="0" fillId="0" borderId="1" pivotButton="0" quotePrefix="0" xfId="0"/>
    <xf numFmtId="164" fontId="0" fillId="5" borderId="1" pivotButton="0" quotePrefix="0" xfId="0"/>
    <xf numFmtId="1" fontId="0" fillId="0" borderId="1" pivotButton="0" quotePrefix="0" xfId="0"/>
    <xf numFmtId="165" fontId="0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left" wrapText="1"/>
    </xf>
    <xf numFmtId="0" fontId="1" fillId="4" borderId="1" pivotButton="0" quotePrefix="0" xfId="0"/>
    <xf numFmtId="1" fontId="1" fillId="4" borderId="1" applyAlignment="1" pivotButton="0" quotePrefix="0" xfId="0">
      <alignment horizontal="right"/>
    </xf>
    <xf numFmtId="164" fontId="1" fillId="4" borderId="1" applyAlignment="1" pivotButton="0" quotePrefix="0" xfId="0">
      <alignment horizontal="right"/>
    </xf>
    <xf numFmtId="165" fontId="1" fillId="4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4" fontId="0" fillId="0" borderId="1" pivotButton="0" quotePrefix="0" xfId="0"/>
    <xf numFmtId="164" fontId="0" fillId="5" borderId="1" pivotButton="0" quotePrefix="0" xfId="0"/>
    <xf numFmtId="165" fontId="0" fillId="0" borderId="1" applyAlignment="1" pivotButton="0" quotePrefix="0" xfId="0">
      <alignment horizontal="right"/>
    </xf>
    <xf numFmtId="164" fontId="1" fillId="4" borderId="1" applyAlignment="1" pivotButton="0" quotePrefix="0" xfId="0">
      <alignment horizontal="right"/>
    </xf>
    <xf numFmtId="165" fontId="1" fillId="4" borderId="1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b val="1"/>
        <color rgb="FF006100"/>
      </font>
    </dxf>
    <dxf>
      <font>
        <b val="1"/>
        <color rgb="FF9C0006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黄科斌</author>
  </authors>
  <commentList>
    <comment ref="J3" authorId="0" shapeId="0">
      <text>
        <t>买三送一实收6元
（原价8元×3/4）</t>
      </text>
    </comment>
    <comment ref="K3" authorId="0" shapeId="0">
      <text>
        <t>买三送一实收6元
（原价8元×3/4）</t>
      </text>
    </comment>
    <comment ref="L3" authorId="0" shapeId="0">
      <text>
        <t>买三送一实收6元
（原价8元×3/4）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9"/>
  <sheetViews>
    <sheetView zoomScale="90" zoomScaleNormal="90" workbookViewId="0">
      <pane xSplit="2" ySplit="2" topLeftCell="C22" activePane="bottomRight" state="frozen"/>
      <selection activeCell="A1" sqref="A1"/>
      <selection pane="topRight" activeCell="A1" sqref="A1"/>
      <selection pane="bottomLeft" activeCell="A1" sqref="A1"/>
      <selection pane="bottomRight" activeCell="F2" sqref="F2"/>
    </sheetView>
  </sheetViews>
  <sheetFormatPr baseColWidth="8" defaultColWidth="9" defaultRowHeight="14.4"/>
  <cols>
    <col width="5" customWidth="1" style="1" min="1" max="1"/>
    <col width="24" customWidth="1" style="1" min="2" max="2"/>
    <col width="9" customWidth="1" style="1" min="3" max="3"/>
    <col width="7" customWidth="1" style="1" min="4" max="4"/>
    <col width="11" customWidth="1" style="1" min="5" max="8"/>
    <col width="12" customWidth="1" style="1" min="9" max="12"/>
    <col width="10" customWidth="1" style="1" min="13" max="13"/>
    <col width="12" customWidth="1" style="1" min="14" max="14"/>
    <col width="10" customWidth="1" style="1" min="15" max="15"/>
    <col width="12" customWidth="1" style="1" min="16" max="16"/>
    <col width="9" customWidth="1" style="1" min="17" max="17"/>
    <col width="10" customWidth="1" style="1" min="18" max="18"/>
    <col width="26" customWidth="1" style="1" min="19" max="19"/>
  </cols>
  <sheetData>
    <row r="1" ht="30" customHeight="1" s="1">
      <c r="A1" s="6" t="inlineStr">
        <is>
          <t>茶之都门店饮品销售统计（2025年1月 - 2月）</t>
        </is>
      </c>
    </row>
    <row r="2" ht="42" customHeight="1" s="1">
      <c r="A2" s="7" t="inlineStr">
        <is>
          <t>序号</t>
        </is>
      </c>
      <c r="B2" s="7" t="inlineStr">
        <is>
          <t>饮品名称</t>
        </is>
      </c>
      <c r="C2" s="7" t="inlineStr">
        <is>
          <t>单价（元）</t>
        </is>
      </c>
      <c r="D2" s="7" t="inlineStr">
        <is>
          <t>类型</t>
        </is>
      </c>
      <c r="E2" s="7" t="inlineStr">
        <is>
          <t>1月上半月销量（杯）
1.1–1.15</t>
        </is>
      </c>
      <c r="F2" s="7" t="inlineStr">
        <is>
          <t>1月下半月销量（杯）
1.16–1.31</t>
        </is>
      </c>
      <c r="G2" s="7" t="inlineStr">
        <is>
          <t>2月上半月销量（杯）
2.1–2.15</t>
        </is>
      </c>
      <c r="H2" s="7" t="inlineStr">
        <is>
          <t>2月下半月销量（杯）
2.16–2.28</t>
        </is>
      </c>
      <c r="I2" s="7" t="inlineStr">
        <is>
          <t>1月上半月销售额（元）</t>
        </is>
      </c>
      <c r="J2" s="7" t="inlineStr">
        <is>
          <t>1月下半月销售额（元）</t>
        </is>
      </c>
      <c r="K2" s="7" t="inlineStr">
        <is>
          <t>2月上半月销售额（元）</t>
        </is>
      </c>
      <c r="L2" s="7" t="inlineStr">
        <is>
          <t>2月下半月销售额（元）</t>
        </is>
      </c>
      <c r="M2" s="7" t="inlineStr">
        <is>
          <t>1月销量合计（杯）</t>
        </is>
      </c>
      <c r="N2" s="7" t="inlineStr">
        <is>
          <t>1月销售额合计（元）</t>
        </is>
      </c>
      <c r="O2" s="7" t="inlineStr">
        <is>
          <t>2月销量合计（杯）</t>
        </is>
      </c>
      <c r="P2" s="7" t="inlineStr">
        <is>
          <t>2月销售额合计（元）</t>
        </is>
      </c>
      <c r="Q2" s="7" t="inlineStr">
        <is>
          <t>销量环比</t>
        </is>
      </c>
      <c r="R2" s="7" t="inlineStr">
        <is>
          <t>销售额环比</t>
        </is>
      </c>
      <c r="S2" s="7" t="inlineStr">
        <is>
          <t>备注</t>
        </is>
      </c>
    </row>
    <row r="3" ht="24" customHeight="1" s="1">
      <c r="A3" s="8" t="n">
        <v>1</v>
      </c>
      <c r="B3" s="9" t="inlineStr">
        <is>
          <t>茉上花开</t>
        </is>
      </c>
      <c r="C3" s="22" t="n">
        <v>8</v>
      </c>
      <c r="D3" s="8" t="inlineStr">
        <is>
          <t>新品</t>
        </is>
      </c>
      <c r="E3" s="11" t="n">
        <v>22</v>
      </c>
      <c r="F3" s="11" t="n">
        <v>324</v>
      </c>
      <c r="G3" s="11" t="n">
        <v>311</v>
      </c>
      <c r="H3" s="11" t="n">
        <v>298</v>
      </c>
      <c r="I3" s="23">
        <f>IF(COUNT(E3)=0,"",C3*E3)</f>
        <v/>
      </c>
      <c r="J3" s="24">
        <f>IF(COUNT(F3)=0,"",C3*F3*3/4)</f>
        <v/>
      </c>
      <c r="K3" s="24">
        <f>IF(COUNT(G3)=0,"",C3*G3*3/4)</f>
        <v/>
      </c>
      <c r="L3" s="24">
        <f>IF(COUNT(H3)=0,"",C3*H3*3/4)</f>
        <v/>
      </c>
      <c r="M3" s="14">
        <f t="array" ref="M3">IF(COUNT(E3:F3)=0,"",SUM(E3:F3))</f>
        <v/>
      </c>
      <c r="N3" s="23">
        <f t="array" ref="N3">IF(COUNT(E3:F3)=0,"",SUM(I3:J3))</f>
        <v/>
      </c>
      <c r="O3" s="14">
        <f t="array" ref="O3">IF(COUNT(G3:H3)=0,"",SUM(G3:H3))</f>
        <v/>
      </c>
      <c r="P3" s="23">
        <f t="array" ref="P3">IF(COUNT(G3:H3)=0,"",SUM(K3:L3))</f>
        <v/>
      </c>
      <c r="Q3" s="25">
        <f>IF(OR(COUNT(M3)=0,M3=0),"",O3/M3-1)</f>
        <v/>
      </c>
      <c r="R3" s="25">
        <f>IF(OR(COUNT(N3)=0,N3=0),"",P3/N3-1)</f>
        <v/>
      </c>
      <c r="S3" s="16" t="inlineStr">
        <is>
          <t>新品（1.13提出促销方案、1.16起执行"买三送一"促销至2月底；1月下半月起销售额按实收口径计算，实收单价=原价×3/4）</t>
        </is>
      </c>
    </row>
    <row r="4" ht="24" customHeight="1" s="1">
      <c r="A4" s="8" t="n">
        <v>2</v>
      </c>
      <c r="B4" s="9" t="inlineStr">
        <is>
          <t>丛声杏香</t>
        </is>
      </c>
      <c r="C4" s="22" t="n">
        <v>8</v>
      </c>
      <c r="D4" s="8" t="inlineStr">
        <is>
          <t>新品</t>
        </is>
      </c>
      <c r="E4" s="11" t="n">
        <v>9</v>
      </c>
      <c r="F4" s="11" t="n">
        <v>14</v>
      </c>
      <c r="G4" s="11" t="n">
        <v>12</v>
      </c>
      <c r="H4" s="11" t="n">
        <v>11</v>
      </c>
      <c r="I4" s="23">
        <f>IF(COUNT(E4)=0,"",C4*E4)</f>
        <v/>
      </c>
      <c r="J4" s="23">
        <f>IF(COUNT(F4)=0,"",C4*F4)</f>
        <v/>
      </c>
      <c r="K4" s="23">
        <f>IF(COUNT(G4)=0,"",C4*G4)</f>
        <v/>
      </c>
      <c r="L4" s="23">
        <f>IF(COUNT(H4)=0,"",C4*H4)</f>
        <v/>
      </c>
      <c r="M4" s="14">
        <f t="array" ref="M4">IF(COUNT(E4:F4)=0,"",SUM(E4:F4))</f>
        <v/>
      </c>
      <c r="N4" s="23">
        <f t="array" ref="N4">IF(COUNT(E4:F4)=0,"",SUM(I4:J4))</f>
        <v/>
      </c>
      <c r="O4" s="14">
        <f t="array" ref="O4">IF(COUNT(G4:H4)=0,"",SUM(G4:H4))</f>
        <v/>
      </c>
      <c r="P4" s="23">
        <f t="array" ref="P4">IF(COUNT(G4:H4)=0,"",SUM(K4:L4))</f>
        <v/>
      </c>
      <c r="Q4" s="25">
        <f>IF(OR(COUNT(M4)=0,M4=0),"",O4/M4-1)</f>
        <v/>
      </c>
      <c r="R4" s="25">
        <f>IF(OR(COUNT(N4)=0,N4=0),"",P4/N4-1)</f>
        <v/>
      </c>
      <c r="S4" s="17" t="inlineStr">
        <is>
          <t>新品</t>
        </is>
      </c>
    </row>
    <row r="5" ht="24" customHeight="1" s="1">
      <c r="A5" s="8" t="n">
        <v>3</v>
      </c>
      <c r="B5" s="9" t="inlineStr">
        <is>
          <t>翠枝奶茉</t>
        </is>
      </c>
      <c r="C5" s="22" t="n">
        <v>10</v>
      </c>
      <c r="D5" s="8" t="inlineStr">
        <is>
          <t>新品</t>
        </is>
      </c>
      <c r="E5" s="11" t="n">
        <v>8</v>
      </c>
      <c r="F5" s="11" t="n">
        <v>12</v>
      </c>
      <c r="G5" s="11" t="n">
        <v>11</v>
      </c>
      <c r="H5" s="11" t="n">
        <v>10</v>
      </c>
      <c r="I5" s="23">
        <f>IF(COUNT(E5)=0,"",C5*E5)</f>
        <v/>
      </c>
      <c r="J5" s="23">
        <f>IF(COUNT(F5)=0,"",C5*F5)</f>
        <v/>
      </c>
      <c r="K5" s="23">
        <f>IF(COUNT(G5)=0,"",C5*G5)</f>
        <v/>
      </c>
      <c r="L5" s="23">
        <f>IF(COUNT(H5)=0,"",C5*H5)</f>
        <v/>
      </c>
      <c r="M5" s="14">
        <f t="array" ref="M5">IF(COUNT(E5:F5)=0,"",SUM(E5:F5))</f>
        <v/>
      </c>
      <c r="N5" s="23">
        <f t="array" ref="N5">IF(COUNT(E5:F5)=0,"",SUM(I5:J5))</f>
        <v/>
      </c>
      <c r="O5" s="14">
        <f t="array" ref="O5">IF(COUNT(G5:H5)=0,"",SUM(G5:H5))</f>
        <v/>
      </c>
      <c r="P5" s="23">
        <f t="array" ref="P5">IF(COUNT(G5:H5)=0,"",SUM(K5:L5))</f>
        <v/>
      </c>
      <c r="Q5" s="25">
        <f>IF(OR(COUNT(M5)=0,M5=0),"",O5/M5-1)</f>
        <v/>
      </c>
      <c r="R5" s="25">
        <f>IF(OR(COUNT(N5)=0,N5=0),"",P5/N5-1)</f>
        <v/>
      </c>
      <c r="S5" s="17" t="inlineStr">
        <is>
          <t>新品</t>
        </is>
      </c>
    </row>
    <row r="6">
      <c r="A6" s="8" t="n">
        <v>4</v>
      </c>
      <c r="B6" s="9" t="inlineStr">
        <is>
          <t>布蕾啵啵奶茶</t>
        </is>
      </c>
      <c r="C6" s="22" t="n">
        <v>10</v>
      </c>
      <c r="D6" s="8" t="inlineStr">
        <is>
          <t>常规</t>
        </is>
      </c>
      <c r="E6" s="11" t="n">
        <v>21</v>
      </c>
      <c r="F6" s="11" t="n">
        <v>22</v>
      </c>
      <c r="G6" s="11" t="n">
        <v>20</v>
      </c>
      <c r="H6" s="11" t="n">
        <v>17</v>
      </c>
      <c r="I6" s="23">
        <f>IF(COUNT(E6)=0,"",C6*E6)</f>
        <v/>
      </c>
      <c r="J6" s="23">
        <f>IF(COUNT(F6)=0,"",C6*F6)</f>
        <v/>
      </c>
      <c r="K6" s="23">
        <f>IF(COUNT(G6)=0,"",C6*G6)</f>
        <v/>
      </c>
      <c r="L6" s="23">
        <f>IF(COUNT(H6)=0,"",C6*H6)</f>
        <v/>
      </c>
      <c r="M6" s="14">
        <f t="array" ref="M6">IF(COUNT(E6:F6)=0,"",SUM(E6:F6))</f>
        <v/>
      </c>
      <c r="N6" s="23">
        <f t="array" ref="N6">IF(COUNT(E6:F6)=0,"",SUM(I6:J6))</f>
        <v/>
      </c>
      <c r="O6" s="14">
        <f t="array" ref="O6">IF(COUNT(G6:H6)=0,"",SUM(G6:H6))</f>
        <v/>
      </c>
      <c r="P6" s="23">
        <f t="array" ref="P6">IF(COUNT(G6:H6)=0,"",SUM(K6:L6))</f>
        <v/>
      </c>
      <c r="Q6" s="25">
        <f>IF(OR(COUNT(M6)=0,M6=0),"",O6/M6-1)</f>
        <v/>
      </c>
      <c r="R6" s="25">
        <f>IF(OR(COUNT(N6)=0,N6=0),"",P6/N6-1)</f>
        <v/>
      </c>
      <c r="S6" s="17" t="inlineStr"/>
    </row>
    <row r="7">
      <c r="A7" s="8" t="n">
        <v>5</v>
      </c>
      <c r="B7" s="9" t="inlineStr">
        <is>
          <t>手炒黑糖珍珠红玉鲜奶茶</t>
        </is>
      </c>
      <c r="C7" s="22" t="n">
        <v>7</v>
      </c>
      <c r="D7" s="8" t="inlineStr">
        <is>
          <t>常规</t>
        </is>
      </c>
      <c r="E7" s="11" t="n">
        <v>42</v>
      </c>
      <c r="F7" s="11" t="n">
        <v>47</v>
      </c>
      <c r="G7" s="11" t="n">
        <v>45</v>
      </c>
      <c r="H7" s="11" t="n">
        <v>38</v>
      </c>
      <c r="I7" s="23">
        <f>IF(COUNT(E7)=0,"",C7*E7)</f>
        <v/>
      </c>
      <c r="J7" s="23">
        <f>IF(COUNT(F7)=0,"",C7*F7)</f>
        <v/>
      </c>
      <c r="K7" s="23">
        <f>IF(COUNT(G7)=0,"",C7*G7)</f>
        <v/>
      </c>
      <c r="L7" s="23">
        <f>IF(COUNT(H7)=0,"",C7*H7)</f>
        <v/>
      </c>
      <c r="M7" s="14">
        <f t="array" ref="M7">IF(COUNT(E7:F7)=0,"",SUM(E7:F7))</f>
        <v/>
      </c>
      <c r="N7" s="23">
        <f t="array" ref="N7">IF(COUNT(E7:F7)=0,"",SUM(I7:J7))</f>
        <v/>
      </c>
      <c r="O7" s="14">
        <f t="array" ref="O7">IF(COUNT(G7:H7)=0,"",SUM(G7:H7))</f>
        <v/>
      </c>
      <c r="P7" s="23">
        <f t="array" ref="P7">IF(COUNT(G7:H7)=0,"",SUM(K7:L7))</f>
        <v/>
      </c>
      <c r="Q7" s="25">
        <f>IF(OR(COUNT(M7)=0,M7=0),"",O7/M7-1)</f>
        <v/>
      </c>
      <c r="R7" s="25">
        <f>IF(OR(COUNT(N7)=0,N7=0),"",P7/N7-1)</f>
        <v/>
      </c>
      <c r="S7" s="17" t="inlineStr"/>
    </row>
    <row r="8">
      <c r="A8" s="8" t="n">
        <v>6</v>
      </c>
      <c r="B8" s="9" t="inlineStr">
        <is>
          <t>手炒黑糖珍珠绿研鲜奶茶</t>
        </is>
      </c>
      <c r="C8" s="22" t="n">
        <v>7</v>
      </c>
      <c r="D8" s="8" t="inlineStr">
        <is>
          <t>常规</t>
        </is>
      </c>
      <c r="E8" s="11" t="n">
        <v>28</v>
      </c>
      <c r="F8" s="11" t="n">
        <v>32</v>
      </c>
      <c r="G8" s="11" t="n">
        <v>29</v>
      </c>
      <c r="H8" s="11" t="n">
        <v>26</v>
      </c>
      <c r="I8" s="23">
        <f>IF(COUNT(E8)=0,"",C8*E8)</f>
        <v/>
      </c>
      <c r="J8" s="23">
        <f>IF(COUNT(F8)=0,"",C8*F8)</f>
        <v/>
      </c>
      <c r="K8" s="23">
        <f>IF(COUNT(G8)=0,"",C8*G8)</f>
        <v/>
      </c>
      <c r="L8" s="23">
        <f>IF(COUNT(H8)=0,"",C8*H8)</f>
        <v/>
      </c>
      <c r="M8" s="14">
        <f t="array" ref="M8">IF(COUNT(E8:F8)=0,"",SUM(E8:F8))</f>
        <v/>
      </c>
      <c r="N8" s="23">
        <f t="array" ref="N8">IF(COUNT(E8:F8)=0,"",SUM(I8:J8))</f>
        <v/>
      </c>
      <c r="O8" s="14">
        <f t="array" ref="O8">IF(COUNT(G8:H8)=0,"",SUM(G8:H8))</f>
        <v/>
      </c>
      <c r="P8" s="23">
        <f t="array" ref="P8">IF(COUNT(G8:H8)=0,"",SUM(K8:L8))</f>
        <v/>
      </c>
      <c r="Q8" s="25">
        <f>IF(OR(COUNT(M8)=0,M8=0),"",O8/M8-1)</f>
        <v/>
      </c>
      <c r="R8" s="25">
        <f>IF(OR(COUNT(N8)=0,N8=0),"",P8/N8-1)</f>
        <v/>
      </c>
      <c r="S8" s="17" t="inlineStr"/>
    </row>
    <row r="9">
      <c r="A9" s="8" t="n">
        <v>7</v>
      </c>
      <c r="B9" s="9" t="inlineStr">
        <is>
          <t>手炒黑糖珍珠乌龙鲜奶茶</t>
        </is>
      </c>
      <c r="C9" s="22" t="n">
        <v>7</v>
      </c>
      <c r="D9" s="8" t="inlineStr">
        <is>
          <t>常规</t>
        </is>
      </c>
      <c r="E9" s="11" t="n">
        <v>26</v>
      </c>
      <c r="F9" s="11" t="n">
        <v>30</v>
      </c>
      <c r="G9" s="11" t="n">
        <v>27</v>
      </c>
      <c r="H9" s="11" t="n">
        <v>24</v>
      </c>
      <c r="I9" s="23">
        <f>IF(COUNT(E9)=0,"",C9*E9)</f>
        <v/>
      </c>
      <c r="J9" s="23">
        <f>IF(COUNT(F9)=0,"",C9*F9)</f>
        <v/>
      </c>
      <c r="K9" s="23">
        <f>IF(COUNT(G9)=0,"",C9*G9)</f>
        <v/>
      </c>
      <c r="L9" s="23">
        <f>IF(COUNT(H9)=0,"",C9*H9)</f>
        <v/>
      </c>
      <c r="M9" s="14">
        <f t="array" ref="M9">IF(COUNT(E9:F9)=0,"",SUM(E9:F9))</f>
        <v/>
      </c>
      <c r="N9" s="23">
        <f t="array" ref="N9">IF(COUNT(E9:F9)=0,"",SUM(I9:J9))</f>
        <v/>
      </c>
      <c r="O9" s="14">
        <f t="array" ref="O9">IF(COUNT(G9:H9)=0,"",SUM(G9:H9))</f>
        <v/>
      </c>
      <c r="P9" s="23">
        <f t="array" ref="P9">IF(COUNT(G9:H9)=0,"",SUM(K9:L9))</f>
        <v/>
      </c>
      <c r="Q9" s="25">
        <f>IF(OR(COUNT(M9)=0,M9=0),"",O9/M9-1)</f>
        <v/>
      </c>
      <c r="R9" s="25">
        <f>IF(OR(COUNT(N9)=0,N9=0),"",P9/N9-1)</f>
        <v/>
      </c>
      <c r="S9" s="17" t="inlineStr"/>
    </row>
    <row r="10">
      <c r="A10" s="8" t="n">
        <v>8</v>
      </c>
      <c r="B10" s="9" t="inlineStr">
        <is>
          <t>生椰黑糖珍珠</t>
        </is>
      </c>
      <c r="C10" s="22" t="n">
        <v>10</v>
      </c>
      <c r="D10" s="8" t="inlineStr">
        <is>
          <t>常规</t>
        </is>
      </c>
      <c r="E10" s="11" t="n">
        <v>18</v>
      </c>
      <c r="F10" s="11" t="n">
        <v>24</v>
      </c>
      <c r="G10" s="11" t="n">
        <v>23</v>
      </c>
      <c r="H10" s="11" t="n">
        <v>19</v>
      </c>
      <c r="I10" s="23">
        <f>IF(COUNT(E10)=0,"",C10*E10)</f>
        <v/>
      </c>
      <c r="J10" s="23">
        <f>IF(COUNT(F10)=0,"",C10*F10)</f>
        <v/>
      </c>
      <c r="K10" s="23">
        <f>IF(COUNT(G10)=0,"",C10*G10)</f>
        <v/>
      </c>
      <c r="L10" s="23">
        <f>IF(COUNT(H10)=0,"",C10*H10)</f>
        <v/>
      </c>
      <c r="M10" s="14">
        <f t="array" ref="M10">IF(COUNT(E10:F10)=0,"",SUM(E10:F10))</f>
        <v/>
      </c>
      <c r="N10" s="23">
        <f t="array" ref="N10">IF(COUNT(E10:F10)=0,"",SUM(I10:J10))</f>
        <v/>
      </c>
      <c r="O10" s="14">
        <f t="array" ref="O10">IF(COUNT(G10:H10)=0,"",SUM(G10:H10))</f>
        <v/>
      </c>
      <c r="P10" s="23">
        <f t="array" ref="P10">IF(COUNT(G10:H10)=0,"",SUM(K10:L10))</f>
        <v/>
      </c>
      <c r="Q10" s="25">
        <f>IF(OR(COUNT(M10)=0,M10=0),"",O10/M10-1)</f>
        <v/>
      </c>
      <c r="R10" s="25">
        <f>IF(OR(COUNT(N10)=0,N10=0),"",P10/N10-1)</f>
        <v/>
      </c>
      <c r="S10" s="17" t="inlineStr"/>
    </row>
    <row r="11">
      <c r="A11" s="8" t="n">
        <v>9</v>
      </c>
      <c r="B11" s="9" t="inlineStr">
        <is>
          <t>现蒸芋圆芋泥红玉鲜奶茶</t>
        </is>
      </c>
      <c r="C11" s="22" t="n">
        <v>8</v>
      </c>
      <c r="D11" s="8" t="inlineStr">
        <is>
          <t>常规</t>
        </is>
      </c>
      <c r="E11" s="11" t="n">
        <v>24</v>
      </c>
      <c r="F11" s="11" t="n">
        <v>26</v>
      </c>
      <c r="G11" s="11" t="n">
        <v>25</v>
      </c>
      <c r="H11" s="11" t="n">
        <v>22</v>
      </c>
      <c r="I11" s="23">
        <f>IF(COUNT(E11)=0,"",C11*E11)</f>
        <v/>
      </c>
      <c r="J11" s="23">
        <f>IF(COUNT(F11)=0,"",C11*F11)</f>
        <v/>
      </c>
      <c r="K11" s="23">
        <f>IF(COUNT(G11)=0,"",C11*G11)</f>
        <v/>
      </c>
      <c r="L11" s="23">
        <f>IF(COUNT(H11)=0,"",C11*H11)</f>
        <v/>
      </c>
      <c r="M11" s="14">
        <f t="array" ref="M11">IF(COUNT(E11:F11)=0,"",SUM(E11:F11))</f>
        <v/>
      </c>
      <c r="N11" s="23">
        <f t="array" ref="N11">IF(COUNT(E11:F11)=0,"",SUM(I11:J11))</f>
        <v/>
      </c>
      <c r="O11" s="14">
        <f t="array" ref="O11">IF(COUNT(G11:H11)=0,"",SUM(G11:H11))</f>
        <v/>
      </c>
      <c r="P11" s="23">
        <f t="array" ref="P11">IF(COUNT(G11:H11)=0,"",SUM(K11:L11))</f>
        <v/>
      </c>
      <c r="Q11" s="25">
        <f>IF(OR(COUNT(M11)=0,M11=0),"",O11/M11-1)</f>
        <v/>
      </c>
      <c r="R11" s="25">
        <f>IF(OR(COUNT(N11)=0,N11=0),"",P11/N11-1)</f>
        <v/>
      </c>
      <c r="S11" s="17" t="inlineStr"/>
    </row>
    <row r="12">
      <c r="A12" s="8" t="n">
        <v>10</v>
      </c>
      <c r="B12" s="9" t="inlineStr">
        <is>
          <t>现蒸芋圆芋泥茉莉鲜奶茶</t>
        </is>
      </c>
      <c r="C12" s="22" t="n">
        <v>8</v>
      </c>
      <c r="D12" s="8" t="inlineStr">
        <is>
          <t>常规</t>
        </is>
      </c>
      <c r="E12" s="11" t="n">
        <v>22</v>
      </c>
      <c r="F12" s="11" t="n">
        <v>25</v>
      </c>
      <c r="G12" s="11" t="n">
        <v>22</v>
      </c>
      <c r="H12" s="11" t="n">
        <v>20</v>
      </c>
      <c r="I12" s="23">
        <f>IF(COUNT(E12)=0,"",C12*E12)</f>
        <v/>
      </c>
      <c r="J12" s="23">
        <f>IF(COUNT(F12)=0,"",C12*F12)</f>
        <v/>
      </c>
      <c r="K12" s="23">
        <f>IF(COUNT(G12)=0,"",C12*G12)</f>
        <v/>
      </c>
      <c r="L12" s="23">
        <f>IF(COUNT(H12)=0,"",C12*H12)</f>
        <v/>
      </c>
      <c r="M12" s="14">
        <f t="array" ref="M12">IF(COUNT(E12:F12)=0,"",SUM(E12:F12))</f>
        <v/>
      </c>
      <c r="N12" s="23">
        <f t="array" ref="N12">IF(COUNT(E12:F12)=0,"",SUM(I12:J12))</f>
        <v/>
      </c>
      <c r="O12" s="14">
        <f t="array" ref="O12">IF(COUNT(G12:H12)=0,"",SUM(G12:H12))</f>
        <v/>
      </c>
      <c r="P12" s="23">
        <f t="array" ref="P12">IF(COUNT(G12:H12)=0,"",SUM(K12:L12))</f>
        <v/>
      </c>
      <c r="Q12" s="25">
        <f>IF(OR(COUNT(M12)=0,M12=0),"",O12/M12-1)</f>
        <v/>
      </c>
      <c r="R12" s="25">
        <f>IF(OR(COUNT(N12)=0,N12=0),"",P12/N12-1)</f>
        <v/>
      </c>
      <c r="S12" s="17" t="inlineStr"/>
    </row>
    <row r="13">
      <c r="A13" s="8" t="n">
        <v>11</v>
      </c>
      <c r="B13" s="9" t="inlineStr">
        <is>
          <t>现蒸芋圆芋泥乌龙鲜奶茶</t>
        </is>
      </c>
      <c r="C13" s="22" t="n">
        <v>8</v>
      </c>
      <c r="D13" s="8" t="inlineStr">
        <is>
          <t>常规</t>
        </is>
      </c>
      <c r="E13" s="11" t="n">
        <v>21</v>
      </c>
      <c r="F13" s="11" t="n">
        <v>24</v>
      </c>
      <c r="G13" s="11" t="n">
        <v>21</v>
      </c>
      <c r="H13" s="11" t="n">
        <v>19</v>
      </c>
      <c r="I13" s="23">
        <f>IF(COUNT(E13)=0,"",C13*E13)</f>
        <v/>
      </c>
      <c r="J13" s="23">
        <f>IF(COUNT(F13)=0,"",C13*F13)</f>
        <v/>
      </c>
      <c r="K13" s="23">
        <f>IF(COUNT(G13)=0,"",C13*G13)</f>
        <v/>
      </c>
      <c r="L13" s="23">
        <f>IF(COUNT(H13)=0,"",C13*H13)</f>
        <v/>
      </c>
      <c r="M13" s="14">
        <f t="array" ref="M13">IF(COUNT(E13:F13)=0,"",SUM(E13:F13))</f>
        <v/>
      </c>
      <c r="N13" s="23">
        <f t="array" ref="N13">IF(COUNT(E13:F13)=0,"",SUM(I13:J13))</f>
        <v/>
      </c>
      <c r="O13" s="14">
        <f t="array" ref="O13">IF(COUNT(G13:H13)=0,"",SUM(G13:H13))</f>
        <v/>
      </c>
      <c r="P13" s="23">
        <f t="array" ref="P13">IF(COUNT(G13:H13)=0,"",SUM(K13:L13))</f>
        <v/>
      </c>
      <c r="Q13" s="25">
        <f>IF(OR(COUNT(M13)=0,M13=0),"",O13/M13-1)</f>
        <v/>
      </c>
      <c r="R13" s="25">
        <f>IF(OR(COUNT(N13)=0,N13=0),"",P13/N13-1)</f>
        <v/>
      </c>
      <c r="S13" s="17" t="inlineStr"/>
    </row>
    <row r="14">
      <c r="A14" s="8" t="n">
        <v>12</v>
      </c>
      <c r="B14" s="9" t="inlineStr">
        <is>
          <t>现蒸芋泥青稞红玉鲜奶茶</t>
        </is>
      </c>
      <c r="C14" s="22" t="n">
        <v>8</v>
      </c>
      <c r="D14" s="8" t="inlineStr">
        <is>
          <t>常规</t>
        </is>
      </c>
      <c r="E14" s="11" t="n">
        <v>14</v>
      </c>
      <c r="F14" s="11" t="n">
        <v>20</v>
      </c>
      <c r="G14" s="11" t="n">
        <v>18</v>
      </c>
      <c r="H14" s="11" t="n">
        <v>17</v>
      </c>
      <c r="I14" s="23">
        <f>IF(COUNT(E14)=0,"",C14*E14)</f>
        <v/>
      </c>
      <c r="J14" s="23">
        <f>IF(COUNT(F14)=0,"",C14*F14)</f>
        <v/>
      </c>
      <c r="K14" s="23">
        <f>IF(COUNT(G14)=0,"",C14*G14)</f>
        <v/>
      </c>
      <c r="L14" s="23">
        <f>IF(COUNT(H14)=0,"",C14*H14)</f>
        <v/>
      </c>
      <c r="M14" s="14">
        <f t="array" ref="M14">IF(COUNT(E14:F14)=0,"",SUM(E14:F14))</f>
        <v/>
      </c>
      <c r="N14" s="23">
        <f t="array" ref="N14">IF(COUNT(E14:F14)=0,"",SUM(I14:J14))</f>
        <v/>
      </c>
      <c r="O14" s="14">
        <f t="array" ref="O14">IF(COUNT(G14:H14)=0,"",SUM(G14:H14))</f>
        <v/>
      </c>
      <c r="P14" s="23">
        <f t="array" ref="P14">IF(COUNT(G14:H14)=0,"",SUM(K14:L14))</f>
        <v/>
      </c>
      <c r="Q14" s="25">
        <f>IF(OR(COUNT(M14)=0,M14=0),"",O14/M14-1)</f>
        <v/>
      </c>
      <c r="R14" s="25">
        <f>IF(OR(COUNT(N14)=0,N14=0),"",P14/N14-1)</f>
        <v/>
      </c>
      <c r="S14" s="17" t="inlineStr"/>
    </row>
    <row r="15">
      <c r="A15" s="8" t="n">
        <v>13</v>
      </c>
      <c r="B15" s="9" t="inlineStr">
        <is>
          <t>生椰芋圆芋泥</t>
        </is>
      </c>
      <c r="C15" s="22" t="n">
        <v>12</v>
      </c>
      <c r="D15" s="8" t="inlineStr">
        <is>
          <t>常规</t>
        </is>
      </c>
      <c r="E15" s="11" t="n">
        <v>13</v>
      </c>
      <c r="F15" s="11" t="n">
        <v>18</v>
      </c>
      <c r="G15" s="11" t="n">
        <v>16</v>
      </c>
      <c r="H15" s="11" t="n">
        <v>15</v>
      </c>
      <c r="I15" s="23">
        <f>IF(COUNT(E15)=0,"",C15*E15)</f>
        <v/>
      </c>
      <c r="J15" s="23">
        <f>IF(COUNT(F15)=0,"",C15*F15)</f>
        <v/>
      </c>
      <c r="K15" s="23">
        <f>IF(COUNT(G15)=0,"",C15*G15)</f>
        <v/>
      </c>
      <c r="L15" s="23">
        <f>IF(COUNT(H15)=0,"",C15*H15)</f>
        <v/>
      </c>
      <c r="M15" s="14">
        <f t="array" ref="M15">IF(COUNT(E15:F15)=0,"",SUM(E15:F15))</f>
        <v/>
      </c>
      <c r="N15" s="23">
        <f t="array" ref="N15">IF(COUNT(E15:F15)=0,"",SUM(I15:J15))</f>
        <v/>
      </c>
      <c r="O15" s="14">
        <f t="array" ref="O15">IF(COUNT(G15:H15)=0,"",SUM(G15:H15))</f>
        <v/>
      </c>
      <c r="P15" s="23">
        <f t="array" ref="P15">IF(COUNT(G15:H15)=0,"",SUM(K15:L15))</f>
        <v/>
      </c>
      <c r="Q15" s="25">
        <f>IF(OR(COUNT(M15)=0,M15=0),"",O15/M15-1)</f>
        <v/>
      </c>
      <c r="R15" s="25">
        <f>IF(OR(COUNT(N15)=0,N15=0),"",P15/N15-1)</f>
        <v/>
      </c>
      <c r="S15" s="17" t="inlineStr"/>
    </row>
    <row r="16">
      <c r="A16" s="8" t="n">
        <v>14</v>
      </c>
      <c r="B16" s="9" t="inlineStr">
        <is>
          <t>芋泥啵啵鲜奶</t>
        </is>
      </c>
      <c r="C16" s="22" t="n">
        <v>12</v>
      </c>
      <c r="D16" s="8" t="inlineStr">
        <is>
          <t>常规</t>
        </is>
      </c>
      <c r="E16" s="11" t="n">
        <v>14</v>
      </c>
      <c r="F16" s="11" t="n">
        <v>18</v>
      </c>
      <c r="G16" s="11" t="n">
        <v>16</v>
      </c>
      <c r="H16" s="11" t="n">
        <v>15</v>
      </c>
      <c r="I16" s="23">
        <f>IF(COUNT(E16)=0,"",C16*E16)</f>
        <v/>
      </c>
      <c r="J16" s="23">
        <f>IF(COUNT(F16)=0,"",C16*F16)</f>
        <v/>
      </c>
      <c r="K16" s="23">
        <f>IF(COUNT(G16)=0,"",C16*G16)</f>
        <v/>
      </c>
      <c r="L16" s="23">
        <f>IF(COUNT(H16)=0,"",C16*H16)</f>
        <v/>
      </c>
      <c r="M16" s="14">
        <f t="array" ref="M16">IF(COUNT(E16:F16)=0,"",SUM(E16:F16))</f>
        <v/>
      </c>
      <c r="N16" s="23">
        <f t="array" ref="N16">IF(COUNT(E16:F16)=0,"",SUM(I16:J16))</f>
        <v/>
      </c>
      <c r="O16" s="14">
        <f t="array" ref="O16">IF(COUNT(G16:H16)=0,"",SUM(G16:H16))</f>
        <v/>
      </c>
      <c r="P16" s="23">
        <f t="array" ref="P16">IF(COUNT(G16:H16)=0,"",SUM(K16:L16))</f>
        <v/>
      </c>
      <c r="Q16" s="25">
        <f>IF(OR(COUNT(M16)=0,M16=0),"",O16/M16-1)</f>
        <v/>
      </c>
      <c r="R16" s="25">
        <f>IF(OR(COUNT(N16)=0,N16=0),"",P16/N16-1)</f>
        <v/>
      </c>
      <c r="S16" s="17" t="inlineStr"/>
    </row>
    <row r="17">
      <c r="A17" s="8" t="n">
        <v>15</v>
      </c>
      <c r="B17" s="9" t="inlineStr">
        <is>
          <t>杨枝甘露</t>
        </is>
      </c>
      <c r="C17" s="22" t="n">
        <v>12</v>
      </c>
      <c r="D17" s="8" t="inlineStr">
        <is>
          <t>常规</t>
        </is>
      </c>
      <c r="E17" s="11" t="n">
        <v>25</v>
      </c>
      <c r="F17" s="11" t="n">
        <v>27</v>
      </c>
      <c r="G17" s="11" t="n">
        <v>26</v>
      </c>
      <c r="H17" s="11" t="n">
        <v>22</v>
      </c>
      <c r="I17" s="23">
        <f>IF(COUNT(E17)=0,"",C17*E17)</f>
        <v/>
      </c>
      <c r="J17" s="23">
        <f>IF(COUNT(F17)=0,"",C17*F17)</f>
        <v/>
      </c>
      <c r="K17" s="23">
        <f>IF(COUNT(G17)=0,"",C17*G17)</f>
        <v/>
      </c>
      <c r="L17" s="23">
        <f>IF(COUNT(H17)=0,"",C17*H17)</f>
        <v/>
      </c>
      <c r="M17" s="14">
        <f t="array" ref="M17">IF(COUNT(E17:F17)=0,"",SUM(E17:F17))</f>
        <v/>
      </c>
      <c r="N17" s="23">
        <f t="array" ref="N17">IF(COUNT(E17:F17)=0,"",SUM(I17:J17))</f>
        <v/>
      </c>
      <c r="O17" s="14">
        <f t="array" ref="O17">IF(COUNT(G17:H17)=0,"",SUM(G17:H17))</f>
        <v/>
      </c>
      <c r="P17" s="23">
        <f t="array" ref="P17">IF(COUNT(G17:H17)=0,"",SUM(K17:L17))</f>
        <v/>
      </c>
      <c r="Q17" s="25">
        <f>IF(OR(COUNT(M17)=0,M17=0),"",O17/M17-1)</f>
        <v/>
      </c>
      <c r="R17" s="25">
        <f>IF(OR(COUNT(N17)=0,N17=0),"",P17/N17-1)</f>
        <v/>
      </c>
      <c r="S17" s="17" t="inlineStr"/>
    </row>
    <row r="18">
      <c r="A18" s="8" t="n">
        <v>16</v>
      </c>
      <c r="B18" s="9" t="inlineStr">
        <is>
          <t>草莓酸奶啵啵</t>
        </is>
      </c>
      <c r="C18" s="22" t="n">
        <v>13</v>
      </c>
      <c r="D18" s="8" t="inlineStr">
        <is>
          <t>常规</t>
        </is>
      </c>
      <c r="E18" s="11" t="n">
        <v>15</v>
      </c>
      <c r="F18" s="11" t="n">
        <v>19</v>
      </c>
      <c r="G18" s="11" t="n">
        <v>17</v>
      </c>
      <c r="H18" s="11" t="n">
        <v>15</v>
      </c>
      <c r="I18" s="23">
        <f>IF(COUNT(E18)=0,"",C18*E18)</f>
        <v/>
      </c>
      <c r="J18" s="23">
        <f>IF(COUNT(F18)=0,"",C18*F18)</f>
        <v/>
      </c>
      <c r="K18" s="23">
        <f>IF(COUNT(G18)=0,"",C18*G18)</f>
        <v/>
      </c>
      <c r="L18" s="23">
        <f>IF(COUNT(H18)=0,"",C18*H18)</f>
        <v/>
      </c>
      <c r="M18" s="14">
        <f t="array" ref="M18">IF(COUNT(E18:F18)=0,"",SUM(E18:F18))</f>
        <v/>
      </c>
      <c r="N18" s="23">
        <f t="array" ref="N18">IF(COUNT(E18:F18)=0,"",SUM(I18:J18))</f>
        <v/>
      </c>
      <c r="O18" s="14">
        <f t="array" ref="O18">IF(COUNT(G18:H18)=0,"",SUM(G18:H18))</f>
        <v/>
      </c>
      <c r="P18" s="23">
        <f t="array" ref="P18">IF(COUNT(G18:H18)=0,"",SUM(K18:L18))</f>
        <v/>
      </c>
      <c r="Q18" s="25">
        <f>IF(OR(COUNT(M18)=0,M18=0),"",O18/M18-1)</f>
        <v/>
      </c>
      <c r="R18" s="25">
        <f>IF(OR(COUNT(N18)=0,N18=0),"",P18/N18-1)</f>
        <v/>
      </c>
      <c r="S18" s="17" t="inlineStr"/>
    </row>
    <row r="19">
      <c r="A19" s="8" t="n">
        <v>17</v>
      </c>
      <c r="B19" s="9" t="inlineStr">
        <is>
          <t>都市烤奶</t>
        </is>
      </c>
      <c r="C19" s="22" t="n">
        <v>7</v>
      </c>
      <c r="D19" s="8" t="inlineStr">
        <is>
          <t>常规</t>
        </is>
      </c>
      <c r="E19" s="11" t="n">
        <v>52</v>
      </c>
      <c r="F19" s="11" t="n">
        <v>58</v>
      </c>
      <c r="G19" s="11" t="n">
        <v>55</v>
      </c>
      <c r="H19" s="11" t="n">
        <v>46</v>
      </c>
      <c r="I19" s="23">
        <f>IF(COUNT(E19)=0,"",C19*E19)</f>
        <v/>
      </c>
      <c r="J19" s="23">
        <f>IF(COUNT(F19)=0,"",C19*F19)</f>
        <v/>
      </c>
      <c r="K19" s="23">
        <f>IF(COUNT(G19)=0,"",C19*G19)</f>
        <v/>
      </c>
      <c r="L19" s="23">
        <f>IF(COUNT(H19)=0,"",C19*H19)</f>
        <v/>
      </c>
      <c r="M19" s="14">
        <f t="array" ref="M19">IF(COUNT(E19:F19)=0,"",SUM(E19:F19))</f>
        <v/>
      </c>
      <c r="N19" s="23">
        <f t="array" ref="N19">IF(COUNT(E19:F19)=0,"",SUM(I19:J19))</f>
        <v/>
      </c>
      <c r="O19" s="14">
        <f t="array" ref="O19">IF(COUNT(G19:H19)=0,"",SUM(G19:H19))</f>
        <v/>
      </c>
      <c r="P19" s="23">
        <f t="array" ref="P19">IF(COUNT(G19:H19)=0,"",SUM(K19:L19))</f>
        <v/>
      </c>
      <c r="Q19" s="25">
        <f>IF(OR(COUNT(M19)=0,M19=0),"",O19/M19-1)</f>
        <v/>
      </c>
      <c r="R19" s="25">
        <f>IF(OR(COUNT(N19)=0,N19=0),"",P19/N19-1)</f>
        <v/>
      </c>
      <c r="S19" s="17" t="inlineStr"/>
    </row>
    <row r="20">
      <c r="A20" s="8" t="n">
        <v>18</v>
      </c>
      <c r="B20" s="9" t="inlineStr">
        <is>
          <t>茉莉烤奶</t>
        </is>
      </c>
      <c r="C20" s="22" t="n">
        <v>7</v>
      </c>
      <c r="D20" s="8" t="inlineStr">
        <is>
          <t>常规</t>
        </is>
      </c>
      <c r="E20" s="11" t="n">
        <v>32</v>
      </c>
      <c r="F20" s="11" t="n">
        <v>35</v>
      </c>
      <c r="G20" s="11" t="n">
        <v>31</v>
      </c>
      <c r="H20" s="11" t="n">
        <v>28</v>
      </c>
      <c r="I20" s="23">
        <f>IF(COUNT(E20)=0,"",C20*E20)</f>
        <v/>
      </c>
      <c r="J20" s="23">
        <f>IF(COUNT(F20)=0,"",C20*F20)</f>
        <v/>
      </c>
      <c r="K20" s="23">
        <f>IF(COUNT(G20)=0,"",C20*G20)</f>
        <v/>
      </c>
      <c r="L20" s="23">
        <f>IF(COUNT(H20)=0,"",C20*H20)</f>
        <v/>
      </c>
      <c r="M20" s="14">
        <f t="array" ref="M20">IF(COUNT(E20:F20)=0,"",SUM(E20:F20))</f>
        <v/>
      </c>
      <c r="N20" s="23">
        <f t="array" ref="N20">IF(COUNT(E20:F20)=0,"",SUM(I20:J20))</f>
        <v/>
      </c>
      <c r="O20" s="14">
        <f t="array" ref="O20">IF(COUNT(G20:H20)=0,"",SUM(G20:H20))</f>
        <v/>
      </c>
      <c r="P20" s="23">
        <f t="array" ref="P20">IF(COUNT(G20:H20)=0,"",SUM(K20:L20))</f>
        <v/>
      </c>
      <c r="Q20" s="25">
        <f>IF(OR(COUNT(M20)=0,M20=0),"",O20/M20-1)</f>
        <v/>
      </c>
      <c r="R20" s="25">
        <f>IF(OR(COUNT(N20)=0,N20=0),"",P20/N20-1)</f>
        <v/>
      </c>
      <c r="S20" s="17" t="inlineStr"/>
    </row>
    <row r="21">
      <c r="A21" s="8" t="n">
        <v>19</v>
      </c>
      <c r="B21" s="9" t="inlineStr">
        <is>
          <t>有料烤奶（椰果/红豆/布丁）</t>
        </is>
      </c>
      <c r="C21" s="22" t="n">
        <v>8</v>
      </c>
      <c r="D21" s="8" t="inlineStr">
        <is>
          <t>常规</t>
        </is>
      </c>
      <c r="E21" s="11" t="n">
        <v>45</v>
      </c>
      <c r="F21" s="11" t="n">
        <v>49</v>
      </c>
      <c r="G21" s="11" t="n">
        <v>47</v>
      </c>
      <c r="H21" s="11" t="n">
        <v>39</v>
      </c>
      <c r="I21" s="23">
        <f>IF(COUNT(E21)=0,"",C21*E21)</f>
        <v/>
      </c>
      <c r="J21" s="23">
        <f>IF(COUNT(F21)=0,"",C21*F21)</f>
        <v/>
      </c>
      <c r="K21" s="23">
        <f>IF(COUNT(G21)=0,"",C21*G21)</f>
        <v/>
      </c>
      <c r="L21" s="23">
        <f>IF(COUNT(H21)=0,"",C21*H21)</f>
        <v/>
      </c>
      <c r="M21" s="14">
        <f t="array" ref="M21">IF(COUNT(E21:F21)=0,"",SUM(E21:F21))</f>
        <v/>
      </c>
      <c r="N21" s="23">
        <f t="array" ref="N21">IF(COUNT(E21:F21)=0,"",SUM(I21:J21))</f>
        <v/>
      </c>
      <c r="O21" s="14">
        <f t="array" ref="O21">IF(COUNT(G21:H21)=0,"",SUM(G21:H21))</f>
        <v/>
      </c>
      <c r="P21" s="23">
        <f t="array" ref="P21">IF(COUNT(G21:H21)=0,"",SUM(K21:L21))</f>
        <v/>
      </c>
      <c r="Q21" s="25">
        <f>IF(OR(COUNT(M21)=0,M21=0),"",O21/M21-1)</f>
        <v/>
      </c>
      <c r="R21" s="25">
        <f>IF(OR(COUNT(N21)=0,N21=0),"",P21/N21-1)</f>
        <v/>
      </c>
      <c r="S21" s="17" t="inlineStr"/>
    </row>
    <row r="22">
      <c r="A22" s="8" t="n">
        <v>20</v>
      </c>
      <c r="B22" s="9" t="inlineStr">
        <is>
          <t>招牌烧仙草</t>
        </is>
      </c>
      <c r="C22" s="22" t="n">
        <v>8</v>
      </c>
      <c r="D22" s="8" t="inlineStr">
        <is>
          <t>常规</t>
        </is>
      </c>
      <c r="E22" s="11" t="n">
        <v>30</v>
      </c>
      <c r="F22" s="11" t="n">
        <v>34</v>
      </c>
      <c r="G22" s="11" t="n">
        <v>32</v>
      </c>
      <c r="H22" s="11" t="n">
        <v>26</v>
      </c>
      <c r="I22" s="23">
        <f>IF(COUNT(E22)=0,"",C22*E22)</f>
        <v/>
      </c>
      <c r="J22" s="23">
        <f>IF(COUNT(F22)=0,"",C22*F22)</f>
        <v/>
      </c>
      <c r="K22" s="23">
        <f>IF(COUNT(G22)=0,"",C22*G22)</f>
        <v/>
      </c>
      <c r="L22" s="23">
        <f>IF(COUNT(H22)=0,"",C22*H22)</f>
        <v/>
      </c>
      <c r="M22" s="14">
        <f t="array" ref="M22">IF(COUNT(E22:F22)=0,"",SUM(E22:F22))</f>
        <v/>
      </c>
      <c r="N22" s="23">
        <f t="array" ref="N22">IF(COUNT(E22:F22)=0,"",SUM(I22:J22))</f>
        <v/>
      </c>
      <c r="O22" s="14">
        <f t="array" ref="O22">IF(COUNT(G22:H22)=0,"",SUM(G22:H22))</f>
        <v/>
      </c>
      <c r="P22" s="23">
        <f t="array" ref="P22">IF(COUNT(G22:H22)=0,"",SUM(K22:L22))</f>
        <v/>
      </c>
      <c r="Q22" s="25">
        <f>IF(OR(COUNT(M22)=0,M22=0),"",O22/M22-1)</f>
        <v/>
      </c>
      <c r="R22" s="25">
        <f>IF(OR(COUNT(N22)=0,N22=0),"",P22/N22-1)</f>
        <v/>
      </c>
      <c r="S22" s="17" t="inlineStr"/>
    </row>
    <row r="23">
      <c r="A23" s="8" t="n">
        <v>21</v>
      </c>
      <c r="B23" s="9" t="inlineStr">
        <is>
          <t>清爽柠檬汁</t>
        </is>
      </c>
      <c r="C23" s="22" t="n">
        <v>7</v>
      </c>
      <c r="D23" s="8" t="inlineStr">
        <is>
          <t>常规</t>
        </is>
      </c>
      <c r="E23" s="11" t="n">
        <v>21</v>
      </c>
      <c r="F23" s="11" t="n">
        <v>24</v>
      </c>
      <c r="G23" s="11" t="n">
        <v>21</v>
      </c>
      <c r="H23" s="11" t="n">
        <v>19</v>
      </c>
      <c r="I23" s="23">
        <f>IF(COUNT(E23)=0,"",C23*E23)</f>
        <v/>
      </c>
      <c r="J23" s="23">
        <f>IF(COUNT(F23)=0,"",C23*F23)</f>
        <v/>
      </c>
      <c r="K23" s="23">
        <f>IF(COUNT(G23)=0,"",C23*G23)</f>
        <v/>
      </c>
      <c r="L23" s="23">
        <f>IF(COUNT(H23)=0,"",C23*H23)</f>
        <v/>
      </c>
      <c r="M23" s="14">
        <f t="array" ref="M23">IF(COUNT(E23:F23)=0,"",SUM(E23:F23))</f>
        <v/>
      </c>
      <c r="N23" s="23">
        <f t="array" ref="N23">IF(COUNT(E23:F23)=0,"",SUM(I23:J23))</f>
        <v/>
      </c>
      <c r="O23" s="14">
        <f t="array" ref="O23">IF(COUNT(G23:H23)=0,"",SUM(G23:H23))</f>
        <v/>
      </c>
      <c r="P23" s="23">
        <f t="array" ref="P23">IF(COUNT(G23:H23)=0,"",SUM(K23:L23))</f>
        <v/>
      </c>
      <c r="Q23" s="25">
        <f>IF(OR(COUNT(M23)=0,M23=0),"",O23/M23-1)</f>
        <v/>
      </c>
      <c r="R23" s="25">
        <f>IF(OR(COUNT(N23)=0,N23=0),"",P23/N23-1)</f>
        <v/>
      </c>
      <c r="S23" s="17" t="inlineStr"/>
    </row>
    <row r="24">
      <c r="A24" s="8" t="n">
        <v>22</v>
      </c>
      <c r="B24" s="9" t="inlineStr">
        <is>
          <t>鸭屎香柠檬茶</t>
        </is>
      </c>
      <c r="C24" s="22" t="n">
        <v>8</v>
      </c>
      <c r="D24" s="8" t="inlineStr">
        <is>
          <t>常规</t>
        </is>
      </c>
      <c r="E24" s="11" t="n">
        <v>27</v>
      </c>
      <c r="F24" s="11" t="n">
        <v>31</v>
      </c>
      <c r="G24" s="11" t="n">
        <v>30</v>
      </c>
      <c r="H24" s="11" t="n">
        <v>25</v>
      </c>
      <c r="I24" s="23">
        <f>IF(COUNT(E24)=0,"",C24*E24)</f>
        <v/>
      </c>
      <c r="J24" s="23">
        <f>IF(COUNT(F24)=0,"",C24*F24)</f>
        <v/>
      </c>
      <c r="K24" s="23">
        <f>IF(COUNT(G24)=0,"",C24*G24)</f>
        <v/>
      </c>
      <c r="L24" s="23">
        <f>IF(COUNT(H24)=0,"",C24*H24)</f>
        <v/>
      </c>
      <c r="M24" s="14">
        <f t="array" ref="M24">IF(COUNT(E24:F24)=0,"",SUM(E24:F24))</f>
        <v/>
      </c>
      <c r="N24" s="23">
        <f t="array" ref="N24">IF(COUNT(E24:F24)=0,"",SUM(I24:J24))</f>
        <v/>
      </c>
      <c r="O24" s="14">
        <f t="array" ref="O24">IF(COUNT(G24:H24)=0,"",SUM(G24:H24))</f>
        <v/>
      </c>
      <c r="P24" s="23">
        <f t="array" ref="P24">IF(COUNT(G24:H24)=0,"",SUM(K24:L24))</f>
        <v/>
      </c>
      <c r="Q24" s="25">
        <f>IF(OR(COUNT(M24)=0,M24=0),"",O24/M24-1)</f>
        <v/>
      </c>
      <c r="R24" s="25">
        <f>IF(OR(COUNT(N24)=0,N24=0),"",P24/N24-1)</f>
        <v/>
      </c>
      <c r="S24" s="17" t="inlineStr"/>
    </row>
    <row r="25">
      <c r="A25" s="8" t="n">
        <v>23</v>
      </c>
      <c r="B25" s="9" t="inlineStr">
        <is>
          <t>西柠绿茶</t>
        </is>
      </c>
      <c r="C25" s="22" t="n">
        <v>8</v>
      </c>
      <c r="D25" s="8" t="inlineStr">
        <is>
          <t>常规</t>
        </is>
      </c>
      <c r="E25" s="11" t="n">
        <v>18</v>
      </c>
      <c r="F25" s="11" t="n">
        <v>23</v>
      </c>
      <c r="G25" s="11" t="n">
        <v>21</v>
      </c>
      <c r="H25" s="11" t="n">
        <v>19</v>
      </c>
      <c r="I25" s="23">
        <f>IF(COUNT(E25)=0,"",C25*E25)</f>
        <v/>
      </c>
      <c r="J25" s="23">
        <f>IF(COUNT(F25)=0,"",C25*F25)</f>
        <v/>
      </c>
      <c r="K25" s="23">
        <f>IF(COUNT(G25)=0,"",C25*G25)</f>
        <v/>
      </c>
      <c r="L25" s="23">
        <f>IF(COUNT(H25)=0,"",C25*H25)</f>
        <v/>
      </c>
      <c r="M25" s="14">
        <f t="array" ref="M25">IF(COUNT(E25:F25)=0,"",SUM(E25:F25))</f>
        <v/>
      </c>
      <c r="N25" s="23">
        <f t="array" ref="N25">IF(COUNT(E25:F25)=0,"",SUM(I25:J25))</f>
        <v/>
      </c>
      <c r="O25" s="14">
        <f t="array" ref="O25">IF(COUNT(G25:H25)=0,"",SUM(G25:H25))</f>
        <v/>
      </c>
      <c r="P25" s="23">
        <f t="array" ref="P25">IF(COUNT(G25:H25)=0,"",SUM(K25:L25))</f>
        <v/>
      </c>
      <c r="Q25" s="25">
        <f>IF(OR(COUNT(M25)=0,M25=0),"",O25/M25-1)</f>
        <v/>
      </c>
      <c r="R25" s="25">
        <f>IF(OR(COUNT(N25)=0,N25=0),"",P25/N25-1)</f>
        <v/>
      </c>
      <c r="S25" s="17" t="inlineStr"/>
    </row>
    <row r="26">
      <c r="A26" s="8" t="n">
        <v>24</v>
      </c>
      <c r="B26" s="9" t="inlineStr">
        <is>
          <t>老盐柠檬茶</t>
        </is>
      </c>
      <c r="C26" s="22" t="n">
        <v>9</v>
      </c>
      <c r="D26" s="8" t="inlineStr">
        <is>
          <t>常规</t>
        </is>
      </c>
      <c r="E26" s="11" t="n">
        <v>17</v>
      </c>
      <c r="F26" s="11" t="n">
        <v>22</v>
      </c>
      <c r="G26" s="11" t="n">
        <v>20</v>
      </c>
      <c r="H26" s="11" t="n">
        <v>18</v>
      </c>
      <c r="I26" s="23">
        <f>IF(COUNT(E26)=0,"",C26*E26)</f>
        <v/>
      </c>
      <c r="J26" s="23">
        <f>IF(COUNT(F26)=0,"",C26*F26)</f>
        <v/>
      </c>
      <c r="K26" s="23">
        <f>IF(COUNT(G26)=0,"",C26*G26)</f>
        <v/>
      </c>
      <c r="L26" s="23">
        <f>IF(COUNT(H26)=0,"",C26*H26)</f>
        <v/>
      </c>
      <c r="M26" s="14">
        <f t="array" ref="M26">IF(COUNT(E26:F26)=0,"",SUM(E26:F26))</f>
        <v/>
      </c>
      <c r="N26" s="23">
        <f t="array" ref="N26">IF(COUNT(E26:F26)=0,"",SUM(I26:J26))</f>
        <v/>
      </c>
      <c r="O26" s="14">
        <f t="array" ref="O26">IF(COUNT(G26:H26)=0,"",SUM(G26:H26))</f>
        <v/>
      </c>
      <c r="P26" s="23">
        <f t="array" ref="P26">IF(COUNT(G26:H26)=0,"",SUM(K26:L26))</f>
        <v/>
      </c>
      <c r="Q26" s="25">
        <f>IF(OR(COUNT(M26)=0,M26=0),"",O26/M26-1)</f>
        <v/>
      </c>
      <c r="R26" s="25">
        <f>IF(OR(COUNT(N26)=0,N26=0),"",P26/N26-1)</f>
        <v/>
      </c>
      <c r="S26" s="17" t="inlineStr"/>
    </row>
    <row r="27">
      <c r="A27" s="8" t="n">
        <v>25</v>
      </c>
      <c r="B27" s="9" t="inlineStr">
        <is>
          <t>鲜柠檬养乐多</t>
        </is>
      </c>
      <c r="C27" s="22" t="n">
        <v>8</v>
      </c>
      <c r="D27" s="8" t="inlineStr">
        <is>
          <t>常规</t>
        </is>
      </c>
      <c r="E27" s="11" t="n">
        <v>20</v>
      </c>
      <c r="F27" s="11" t="n">
        <v>23</v>
      </c>
      <c r="G27" s="11" t="n">
        <v>21</v>
      </c>
      <c r="H27" s="11" t="n">
        <v>19</v>
      </c>
      <c r="I27" s="23">
        <f>IF(COUNT(E27)=0,"",C27*E27)</f>
        <v/>
      </c>
      <c r="J27" s="23">
        <f>IF(COUNT(F27)=0,"",C27*F27)</f>
        <v/>
      </c>
      <c r="K27" s="23">
        <f>IF(COUNT(G27)=0,"",C27*G27)</f>
        <v/>
      </c>
      <c r="L27" s="23">
        <f>IF(COUNT(H27)=0,"",C27*H27)</f>
        <v/>
      </c>
      <c r="M27" s="14">
        <f t="array" ref="M27">IF(COUNT(E27:F27)=0,"",SUM(E27:F27))</f>
        <v/>
      </c>
      <c r="N27" s="23">
        <f t="array" ref="N27">IF(COUNT(E27:F27)=0,"",SUM(I27:J27))</f>
        <v/>
      </c>
      <c r="O27" s="14">
        <f t="array" ref="O27">IF(COUNT(G27:H27)=0,"",SUM(G27:H27))</f>
        <v/>
      </c>
      <c r="P27" s="23">
        <f t="array" ref="P27">IF(COUNT(G27:H27)=0,"",SUM(K27:L27))</f>
        <v/>
      </c>
      <c r="Q27" s="25">
        <f>IF(OR(COUNT(M27)=0,M27=0),"",O27/M27-1)</f>
        <v/>
      </c>
      <c r="R27" s="25">
        <f>IF(OR(COUNT(N27)=0,N27=0),"",P27/N27-1)</f>
        <v/>
      </c>
      <c r="S27" s="17" t="inlineStr"/>
    </row>
    <row r="28">
      <c r="A28" s="8" t="n">
        <v>26</v>
      </c>
      <c r="B28" s="9" t="inlineStr">
        <is>
          <t>金桔柠檬汁</t>
        </is>
      </c>
      <c r="C28" s="22" t="n">
        <v>8</v>
      </c>
      <c r="D28" s="8" t="inlineStr">
        <is>
          <t>常规</t>
        </is>
      </c>
      <c r="E28" s="11" t="n">
        <v>15</v>
      </c>
      <c r="F28" s="11" t="n">
        <v>19</v>
      </c>
      <c r="G28" s="11" t="n">
        <v>17</v>
      </c>
      <c r="H28" s="11" t="n">
        <v>16</v>
      </c>
      <c r="I28" s="23">
        <f>IF(COUNT(E28)=0,"",C28*E28)</f>
        <v/>
      </c>
      <c r="J28" s="23">
        <f>IF(COUNT(F28)=0,"",C28*F28)</f>
        <v/>
      </c>
      <c r="K28" s="23">
        <f>IF(COUNT(G28)=0,"",C28*G28)</f>
        <v/>
      </c>
      <c r="L28" s="23">
        <f>IF(COUNT(H28)=0,"",C28*H28)</f>
        <v/>
      </c>
      <c r="M28" s="14">
        <f t="array" ref="M28">IF(COUNT(E28:F28)=0,"",SUM(E28:F28))</f>
        <v/>
      </c>
      <c r="N28" s="23">
        <f t="array" ref="N28">IF(COUNT(E28:F28)=0,"",SUM(I28:J28))</f>
        <v/>
      </c>
      <c r="O28" s="14">
        <f t="array" ref="O28">IF(COUNT(G28:H28)=0,"",SUM(G28:H28))</f>
        <v/>
      </c>
      <c r="P28" s="23">
        <f t="array" ref="P28">IF(COUNT(G28:H28)=0,"",SUM(K28:L28))</f>
        <v/>
      </c>
      <c r="Q28" s="25">
        <f>IF(OR(COUNT(M28)=0,M28=0),"",O28/M28-1)</f>
        <v/>
      </c>
      <c r="R28" s="25">
        <f>IF(OR(COUNT(N28)=0,N28=0),"",P28/N28-1)</f>
        <v/>
      </c>
      <c r="S28" s="17" t="inlineStr"/>
    </row>
    <row r="29">
      <c r="A29" s="8" t="n">
        <v>27</v>
      </c>
      <c r="B29" s="9" t="inlineStr">
        <is>
          <t>鲜榨西瓜汁</t>
        </is>
      </c>
      <c r="C29" s="22" t="n">
        <v>8</v>
      </c>
      <c r="D29" s="8" t="inlineStr">
        <is>
          <t>常规</t>
        </is>
      </c>
      <c r="E29" s="11" t="n">
        <v>8</v>
      </c>
      <c r="F29" s="11" t="n">
        <v>12</v>
      </c>
      <c r="G29" s="11" t="n">
        <v>10</v>
      </c>
      <c r="H29" s="11" t="n">
        <v>9</v>
      </c>
      <c r="I29" s="23">
        <f>IF(COUNT(E29)=0,"",C29*E29)</f>
        <v/>
      </c>
      <c r="J29" s="23">
        <f>IF(COUNT(F29)=0,"",C29*F29)</f>
        <v/>
      </c>
      <c r="K29" s="23">
        <f>IF(COUNT(G29)=0,"",C29*G29)</f>
        <v/>
      </c>
      <c r="L29" s="23">
        <f>IF(COUNT(H29)=0,"",C29*H29)</f>
        <v/>
      </c>
      <c r="M29" s="14">
        <f t="array" ref="M29">IF(COUNT(E29:F29)=0,"",SUM(E29:F29))</f>
        <v/>
      </c>
      <c r="N29" s="23">
        <f t="array" ref="N29">IF(COUNT(E29:F29)=0,"",SUM(I29:J29))</f>
        <v/>
      </c>
      <c r="O29" s="14">
        <f t="array" ref="O29">IF(COUNT(G29:H29)=0,"",SUM(G29:H29))</f>
        <v/>
      </c>
      <c r="P29" s="23">
        <f t="array" ref="P29">IF(COUNT(G29:H29)=0,"",SUM(K29:L29))</f>
        <v/>
      </c>
      <c r="Q29" s="25">
        <f>IF(OR(COUNT(M29)=0,M29=0),"",O29/M29-1)</f>
        <v/>
      </c>
      <c r="R29" s="25">
        <f>IF(OR(COUNT(N29)=0,N29=0),"",P29/N29-1)</f>
        <v/>
      </c>
      <c r="S29" s="17" t="inlineStr"/>
    </row>
    <row r="30">
      <c r="A30" s="8" t="n">
        <v>28</v>
      </c>
      <c r="B30" s="9" t="inlineStr">
        <is>
          <t>爆芒百香果</t>
        </is>
      </c>
      <c r="C30" s="22" t="n">
        <v>10</v>
      </c>
      <c r="D30" s="8" t="inlineStr">
        <is>
          <t>常规</t>
        </is>
      </c>
      <c r="E30" s="11" t="n">
        <v>14</v>
      </c>
      <c r="F30" s="11" t="n">
        <v>18</v>
      </c>
      <c r="G30" s="11" t="n">
        <v>16</v>
      </c>
      <c r="H30" s="11" t="n">
        <v>15</v>
      </c>
      <c r="I30" s="23">
        <f>IF(COUNT(E30)=0,"",C30*E30)</f>
        <v/>
      </c>
      <c r="J30" s="23">
        <f>IF(COUNT(F30)=0,"",C30*F30)</f>
        <v/>
      </c>
      <c r="K30" s="23">
        <f>IF(COUNT(G30)=0,"",C30*G30)</f>
        <v/>
      </c>
      <c r="L30" s="23">
        <f>IF(COUNT(H30)=0,"",C30*H30)</f>
        <v/>
      </c>
      <c r="M30" s="14">
        <f t="array" ref="M30">IF(COUNT(E30:F30)=0,"",SUM(E30:F30))</f>
        <v/>
      </c>
      <c r="N30" s="23">
        <f t="array" ref="N30">IF(COUNT(E30:F30)=0,"",SUM(I30:J30))</f>
        <v/>
      </c>
      <c r="O30" s="14">
        <f t="array" ref="O30">IF(COUNT(G30:H30)=0,"",SUM(G30:H30))</f>
        <v/>
      </c>
      <c r="P30" s="23">
        <f t="array" ref="P30">IF(COUNT(G30:H30)=0,"",SUM(K30:L30))</f>
        <v/>
      </c>
      <c r="Q30" s="25">
        <f>IF(OR(COUNT(M30)=0,M30=0),"",O30/M30-1)</f>
        <v/>
      </c>
      <c r="R30" s="25">
        <f>IF(OR(COUNT(N30)=0,N30=0),"",P30/N30-1)</f>
        <v/>
      </c>
      <c r="S30" s="17" t="inlineStr"/>
    </row>
    <row r="31">
      <c r="A31" s="8" t="n">
        <v>29</v>
      </c>
      <c r="B31" s="9" t="inlineStr">
        <is>
          <t>超级水果茶</t>
        </is>
      </c>
      <c r="C31" s="22" t="n">
        <v>10</v>
      </c>
      <c r="D31" s="8" t="inlineStr">
        <is>
          <t>常规</t>
        </is>
      </c>
      <c r="E31" s="11" t="n">
        <v>12</v>
      </c>
      <c r="F31" s="11" t="n">
        <v>15</v>
      </c>
      <c r="G31" s="11" t="n">
        <v>13</v>
      </c>
      <c r="H31" s="11" t="n">
        <v>12</v>
      </c>
      <c r="I31" s="23">
        <f>IF(COUNT(E31)=0,"",C31*E31)</f>
        <v/>
      </c>
      <c r="J31" s="23">
        <f>IF(COUNT(F31)=0,"",C31*F31)</f>
        <v/>
      </c>
      <c r="K31" s="23">
        <f>IF(COUNT(G31)=0,"",C31*G31)</f>
        <v/>
      </c>
      <c r="L31" s="23">
        <f>IF(COUNT(H31)=0,"",C31*H31)</f>
        <v/>
      </c>
      <c r="M31" s="14">
        <f t="array" ref="M31">IF(COUNT(E31:F31)=0,"",SUM(E31:F31))</f>
        <v/>
      </c>
      <c r="N31" s="23">
        <f t="array" ref="N31">IF(COUNT(E31:F31)=0,"",SUM(I31:J31))</f>
        <v/>
      </c>
      <c r="O31" s="14">
        <f t="array" ref="O31">IF(COUNT(G31:H31)=0,"",SUM(G31:H31))</f>
        <v/>
      </c>
      <c r="P31" s="23">
        <f t="array" ref="P31">IF(COUNT(G31:H31)=0,"",SUM(K31:L31))</f>
        <v/>
      </c>
      <c r="Q31" s="25">
        <f>IF(OR(COUNT(M31)=0,M31=0),"",O31/M31-1)</f>
        <v/>
      </c>
      <c r="R31" s="25">
        <f>IF(OR(COUNT(N31)=0,N31=0),"",P31/N31-1)</f>
        <v/>
      </c>
      <c r="S31" s="17" t="inlineStr"/>
    </row>
    <row r="32">
      <c r="A32" s="8" t="n">
        <v>30</v>
      </c>
      <c r="B32" s="9" t="inlineStr">
        <is>
          <t>红玉茗茶</t>
        </is>
      </c>
      <c r="C32" s="22" t="n">
        <v>4</v>
      </c>
      <c r="D32" s="8" t="inlineStr">
        <is>
          <t>常规</t>
        </is>
      </c>
      <c r="E32" s="11" t="n">
        <v>26</v>
      </c>
      <c r="F32" s="11" t="n">
        <v>33</v>
      </c>
      <c r="G32" s="11" t="n">
        <v>32</v>
      </c>
      <c r="H32" s="11" t="n">
        <v>28</v>
      </c>
      <c r="I32" s="23">
        <f>IF(COUNT(E32)=0,"",C32*E32)</f>
        <v/>
      </c>
      <c r="J32" s="23">
        <f>IF(COUNT(F32)=0,"",C32*F32)</f>
        <v/>
      </c>
      <c r="K32" s="23">
        <f>IF(COUNT(G32)=0,"",C32*G32)</f>
        <v/>
      </c>
      <c r="L32" s="23">
        <f>IF(COUNT(H32)=0,"",C32*H32)</f>
        <v/>
      </c>
      <c r="M32" s="14">
        <f t="array" ref="M32">IF(COUNT(E32:F32)=0,"",SUM(E32:F32))</f>
        <v/>
      </c>
      <c r="N32" s="23">
        <f t="array" ref="N32">IF(COUNT(E32:F32)=0,"",SUM(I32:J32))</f>
        <v/>
      </c>
      <c r="O32" s="14">
        <f t="array" ref="O32">IF(COUNT(G32:H32)=0,"",SUM(G32:H32))</f>
        <v/>
      </c>
      <c r="P32" s="23">
        <f t="array" ref="P32">IF(COUNT(G32:H32)=0,"",SUM(K32:L32))</f>
        <v/>
      </c>
      <c r="Q32" s="25">
        <f>IF(OR(COUNT(M32)=0,M32=0),"",O32/M32-1)</f>
        <v/>
      </c>
      <c r="R32" s="25">
        <f>IF(OR(COUNT(N32)=0,N32=0),"",P32/N32-1)</f>
        <v/>
      </c>
      <c r="S32" s="17" t="inlineStr"/>
    </row>
    <row r="33">
      <c r="A33" s="8" t="n">
        <v>31</v>
      </c>
      <c r="B33" s="9" t="inlineStr">
        <is>
          <t>茉莉绿茶</t>
        </is>
      </c>
      <c r="C33" s="22" t="n">
        <v>4</v>
      </c>
      <c r="D33" s="8" t="inlineStr">
        <is>
          <t>常规</t>
        </is>
      </c>
      <c r="E33" s="11" t="n">
        <v>24</v>
      </c>
      <c r="F33" s="11" t="n">
        <v>30</v>
      </c>
      <c r="G33" s="11" t="n">
        <v>29</v>
      </c>
      <c r="H33" s="11" t="n">
        <v>24</v>
      </c>
      <c r="I33" s="23">
        <f>IF(COUNT(E33)=0,"",C33*E33)</f>
        <v/>
      </c>
      <c r="J33" s="23">
        <f>IF(COUNT(F33)=0,"",C33*F33)</f>
        <v/>
      </c>
      <c r="K33" s="23">
        <f>IF(COUNT(G33)=0,"",C33*G33)</f>
        <v/>
      </c>
      <c r="L33" s="23">
        <f>IF(COUNT(H33)=0,"",C33*H33)</f>
        <v/>
      </c>
      <c r="M33" s="14">
        <f t="array" ref="M33">IF(COUNT(E33:F33)=0,"",SUM(E33:F33))</f>
        <v/>
      </c>
      <c r="N33" s="23">
        <f t="array" ref="N33">IF(COUNT(E33:F33)=0,"",SUM(I33:J33))</f>
        <v/>
      </c>
      <c r="O33" s="14">
        <f t="array" ref="O33">IF(COUNT(G33:H33)=0,"",SUM(G33:H33))</f>
        <v/>
      </c>
      <c r="P33" s="23">
        <f t="array" ref="P33">IF(COUNT(G33:H33)=0,"",SUM(K33:L33))</f>
        <v/>
      </c>
      <c r="Q33" s="25">
        <f>IF(OR(COUNT(M33)=0,M33=0),"",O33/M33-1)</f>
        <v/>
      </c>
      <c r="R33" s="25">
        <f>IF(OR(COUNT(N33)=0,N33=0),"",P33/N33-1)</f>
        <v/>
      </c>
      <c r="S33" s="17" t="inlineStr"/>
    </row>
    <row r="34">
      <c r="A34" s="8" t="n">
        <v>32</v>
      </c>
      <c r="B34" s="9" t="inlineStr">
        <is>
          <t>碳焙乌龙茶</t>
        </is>
      </c>
      <c r="C34" s="22" t="n">
        <v>4</v>
      </c>
      <c r="D34" s="8" t="inlineStr">
        <is>
          <t>常规</t>
        </is>
      </c>
      <c r="E34" s="11" t="n">
        <v>20</v>
      </c>
      <c r="F34" s="11" t="n">
        <v>25</v>
      </c>
      <c r="G34" s="11" t="n">
        <v>22</v>
      </c>
      <c r="H34" s="11" t="n">
        <v>20</v>
      </c>
      <c r="I34" s="23">
        <f>IF(COUNT(E34)=0,"",C34*E34)</f>
        <v/>
      </c>
      <c r="J34" s="23">
        <f>IF(COUNT(F34)=0,"",C34*F34)</f>
        <v/>
      </c>
      <c r="K34" s="23">
        <f>IF(COUNT(G34)=0,"",C34*G34)</f>
        <v/>
      </c>
      <c r="L34" s="23">
        <f>IF(COUNT(H34)=0,"",C34*H34)</f>
        <v/>
      </c>
      <c r="M34" s="14">
        <f t="array" ref="M34">IF(COUNT(E34:F34)=0,"",SUM(E34:F34))</f>
        <v/>
      </c>
      <c r="N34" s="23">
        <f t="array" ref="N34">IF(COUNT(E34:F34)=0,"",SUM(I34:J34))</f>
        <v/>
      </c>
      <c r="O34" s="14">
        <f t="array" ref="O34">IF(COUNT(G34:H34)=0,"",SUM(G34:H34))</f>
        <v/>
      </c>
      <c r="P34" s="23">
        <f t="array" ref="P34">IF(COUNT(G34:H34)=0,"",SUM(K34:L34))</f>
        <v/>
      </c>
      <c r="Q34" s="25">
        <f>IF(OR(COUNT(M34)=0,M34=0),"",O34/M34-1)</f>
        <v/>
      </c>
      <c r="R34" s="25">
        <f>IF(OR(COUNT(N34)=0,N34=0),"",P34/N34-1)</f>
        <v/>
      </c>
      <c r="S34" s="17" t="inlineStr"/>
    </row>
    <row r="35">
      <c r="A35" s="8" t="n">
        <v>33</v>
      </c>
      <c r="B35" s="9" t="inlineStr">
        <is>
          <t>卡布奇诺</t>
        </is>
      </c>
      <c r="C35" s="22" t="n">
        <v>8</v>
      </c>
      <c r="D35" s="8" t="inlineStr">
        <is>
          <t>常规</t>
        </is>
      </c>
      <c r="E35" s="11" t="n">
        <v>10</v>
      </c>
      <c r="F35" s="11" t="n">
        <v>13</v>
      </c>
      <c r="G35" s="11" t="n">
        <v>12</v>
      </c>
      <c r="H35" s="11" t="n">
        <v>11</v>
      </c>
      <c r="I35" s="23">
        <f>IF(COUNT(E35)=0,"",C35*E35)</f>
        <v/>
      </c>
      <c r="J35" s="23">
        <f>IF(COUNT(F35)=0,"",C35*F35)</f>
        <v/>
      </c>
      <c r="K35" s="23">
        <f>IF(COUNT(G35)=0,"",C35*G35)</f>
        <v/>
      </c>
      <c r="L35" s="23">
        <f>IF(COUNT(H35)=0,"",C35*H35)</f>
        <v/>
      </c>
      <c r="M35" s="14">
        <f t="array" ref="M35">IF(COUNT(E35:F35)=0,"",SUM(E35:F35))</f>
        <v/>
      </c>
      <c r="N35" s="23">
        <f t="array" ref="N35">IF(COUNT(E35:F35)=0,"",SUM(I35:J35))</f>
        <v/>
      </c>
      <c r="O35" s="14">
        <f t="array" ref="O35">IF(COUNT(G35:H35)=0,"",SUM(G35:H35))</f>
        <v/>
      </c>
      <c r="P35" s="23">
        <f t="array" ref="P35">IF(COUNT(G35:H35)=0,"",SUM(K35:L35))</f>
        <v/>
      </c>
      <c r="Q35" s="25">
        <f>IF(OR(COUNT(M35)=0,M35=0),"",O35/M35-1)</f>
        <v/>
      </c>
      <c r="R35" s="25">
        <f>IF(OR(COUNT(N35)=0,N35=0),"",P35/N35-1)</f>
        <v/>
      </c>
      <c r="S35" s="17" t="inlineStr"/>
    </row>
    <row r="36">
      <c r="A36" s="8" t="n">
        <v>34</v>
      </c>
      <c r="B36" s="9" t="inlineStr">
        <is>
          <t>芝士红玉奶盖茶</t>
        </is>
      </c>
      <c r="C36" s="22" t="n">
        <v>10</v>
      </c>
      <c r="D36" s="8" t="inlineStr">
        <is>
          <t>常规</t>
        </is>
      </c>
      <c r="E36" s="11" t="n">
        <v>21</v>
      </c>
      <c r="F36" s="11" t="n">
        <v>22</v>
      </c>
      <c r="G36" s="11" t="n">
        <v>20</v>
      </c>
      <c r="H36" s="11" t="n">
        <v>17</v>
      </c>
      <c r="I36" s="23">
        <f>IF(COUNT(E36)=0,"",C36*E36)</f>
        <v/>
      </c>
      <c r="J36" s="23">
        <f>IF(COUNT(F36)=0,"",C36*F36)</f>
        <v/>
      </c>
      <c r="K36" s="23">
        <f>IF(COUNT(G36)=0,"",C36*G36)</f>
        <v/>
      </c>
      <c r="L36" s="23">
        <f>IF(COUNT(H36)=0,"",C36*H36)</f>
        <v/>
      </c>
      <c r="M36" s="14">
        <f t="array" ref="M36">IF(COUNT(E36:F36)=0,"",SUM(E36:F36))</f>
        <v/>
      </c>
      <c r="N36" s="23">
        <f t="array" ref="N36">IF(COUNT(E36:F36)=0,"",SUM(I36:J36))</f>
        <v/>
      </c>
      <c r="O36" s="14">
        <f t="array" ref="O36">IF(COUNT(G36:H36)=0,"",SUM(G36:H36))</f>
        <v/>
      </c>
      <c r="P36" s="23">
        <f t="array" ref="P36">IF(COUNT(G36:H36)=0,"",SUM(K36:L36))</f>
        <v/>
      </c>
      <c r="Q36" s="25">
        <f>IF(OR(COUNT(M36)=0,M36=0),"",O36/M36-1)</f>
        <v/>
      </c>
      <c r="R36" s="25">
        <f>IF(OR(COUNT(N36)=0,N36=0),"",P36/N36-1)</f>
        <v/>
      </c>
      <c r="S36" s="17" t="inlineStr"/>
    </row>
    <row r="37">
      <c r="A37" s="8" t="n">
        <v>35</v>
      </c>
      <c r="B37" s="9" t="inlineStr">
        <is>
          <t>芝士茉莉奶盖茶</t>
        </is>
      </c>
      <c r="C37" s="22" t="n">
        <v>10</v>
      </c>
      <c r="D37" s="8" t="inlineStr">
        <is>
          <t>常规</t>
        </is>
      </c>
      <c r="E37" s="11" t="n">
        <v>20</v>
      </c>
      <c r="F37" s="11" t="n">
        <v>22</v>
      </c>
      <c r="G37" s="11" t="n">
        <v>20</v>
      </c>
      <c r="H37" s="11" t="n">
        <v>17</v>
      </c>
      <c r="I37" s="23">
        <f>IF(COUNT(E37)=0,"",C37*E37)</f>
        <v/>
      </c>
      <c r="J37" s="23">
        <f>IF(COUNT(F37)=0,"",C37*F37)</f>
        <v/>
      </c>
      <c r="K37" s="23">
        <f>IF(COUNT(G37)=0,"",C37*G37)</f>
        <v/>
      </c>
      <c r="L37" s="23">
        <f>IF(COUNT(H37)=0,"",C37*H37)</f>
        <v/>
      </c>
      <c r="M37" s="14">
        <f t="array" ref="M37">IF(COUNT(E37:F37)=0,"",SUM(E37:F37))</f>
        <v/>
      </c>
      <c r="N37" s="23">
        <f t="array" ref="N37">IF(COUNT(E37:F37)=0,"",SUM(I37:J37))</f>
        <v/>
      </c>
      <c r="O37" s="14">
        <f t="array" ref="O37">IF(COUNT(G37:H37)=0,"",SUM(G37:H37))</f>
        <v/>
      </c>
      <c r="P37" s="23">
        <f t="array" ref="P37">IF(COUNT(G37:H37)=0,"",SUM(K37:L37))</f>
        <v/>
      </c>
      <c r="Q37" s="25">
        <f>IF(OR(COUNT(M37)=0,M37=0),"",O37/M37-1)</f>
        <v/>
      </c>
      <c r="R37" s="25">
        <f>IF(OR(COUNT(N37)=0,N37=0),"",P37/N37-1)</f>
        <v/>
      </c>
      <c r="S37" s="17" t="inlineStr"/>
    </row>
    <row r="38">
      <c r="A38" s="8" t="n">
        <v>36</v>
      </c>
      <c r="B38" s="9" t="inlineStr">
        <is>
          <t>芝士乌龙奶盖茶</t>
        </is>
      </c>
      <c r="C38" s="22" t="n">
        <v>10</v>
      </c>
      <c r="D38" s="8" t="inlineStr">
        <is>
          <t>常规</t>
        </is>
      </c>
      <c r="E38" s="11" t="n">
        <v>16</v>
      </c>
      <c r="F38" s="11" t="n">
        <v>18</v>
      </c>
      <c r="G38" s="11" t="n">
        <v>16</v>
      </c>
      <c r="H38" s="11" t="n">
        <v>14</v>
      </c>
      <c r="I38" s="23">
        <f>IF(COUNT(E38)=0,"",C38*E38)</f>
        <v/>
      </c>
      <c r="J38" s="23">
        <f>IF(COUNT(F38)=0,"",C38*F38)</f>
        <v/>
      </c>
      <c r="K38" s="23">
        <f>IF(COUNT(G38)=0,"",C38*G38)</f>
        <v/>
      </c>
      <c r="L38" s="23">
        <f>IF(COUNT(H38)=0,"",C38*H38)</f>
        <v/>
      </c>
      <c r="M38" s="14">
        <f t="array" ref="M38">IF(COUNT(E38:F38)=0,"",SUM(E38:F38))</f>
        <v/>
      </c>
      <c r="N38" s="23">
        <f t="array" ref="N38">IF(COUNT(E38:F38)=0,"",SUM(I38:J38))</f>
        <v/>
      </c>
      <c r="O38" s="14">
        <f t="array" ref="O38">IF(COUNT(G38:H38)=0,"",SUM(G38:H38))</f>
        <v/>
      </c>
      <c r="P38" s="23">
        <f t="array" ref="P38">IF(COUNT(G38:H38)=0,"",SUM(K38:L38))</f>
        <v/>
      </c>
      <c r="Q38" s="25">
        <f>IF(OR(COUNT(M38)=0,M38=0),"",O38/M38-1)</f>
        <v/>
      </c>
      <c r="R38" s="25">
        <f>IF(OR(COUNT(N38)=0,N38=0),"",P38/N38-1)</f>
        <v/>
      </c>
      <c r="S38" s="17" t="inlineStr"/>
    </row>
    <row r="39">
      <c r="A39" s="18" t="inlineStr"/>
      <c r="B39" s="18" t="inlineStr">
        <is>
          <t>合计</t>
        </is>
      </c>
      <c r="C39" s="18" t="inlineStr"/>
      <c r="D39" s="18" t="inlineStr"/>
      <c r="E39" s="19">
        <f>SUM(E3:E38)</f>
        <v/>
      </c>
      <c r="F39" s="19">
        <f>SUM(F3:F38)</f>
        <v/>
      </c>
      <c r="G39" s="19">
        <f>SUM(G3:G38)</f>
        <v/>
      </c>
      <c r="H39" s="19">
        <f>SUM(H3:H38)</f>
        <v/>
      </c>
      <c r="I39" s="26">
        <f>SUM(I3:I38)</f>
        <v/>
      </c>
      <c r="J39" s="26">
        <f>SUM(J3:J38)</f>
        <v/>
      </c>
      <c r="K39" s="26">
        <f>SUM(K3:K38)</f>
        <v/>
      </c>
      <c r="L39" s="26">
        <f>SUM(L3:L38)</f>
        <v/>
      </c>
      <c r="M39" s="26">
        <f>SUM(M3:M38)</f>
        <v/>
      </c>
      <c r="N39" s="26">
        <f>SUM(N3:N38)</f>
        <v/>
      </c>
      <c r="O39" s="26">
        <f>SUM(O3:O38)</f>
        <v/>
      </c>
      <c r="P39" s="26">
        <f>SUM(P3:P38)</f>
        <v/>
      </c>
      <c r="Q39" s="27">
        <f>IF(OR(COUNT(M39)=0,M39=0),"",O39/M39-1)</f>
        <v/>
      </c>
      <c r="R39" s="27">
        <f>IF(OR(COUNT(N39)=0,N39=0),"",P39/N39-1)</f>
        <v/>
      </c>
      <c r="S39" s="18" t="inlineStr"/>
    </row>
  </sheetData>
  <autoFilter ref="A2:S39"/>
  <mergeCells count="1">
    <mergeCell ref="A1:S1"/>
  </mergeCells>
  <conditionalFormatting sqref="Q3:Q3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R3:R39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tabSelected="1" workbookViewId="0">
      <selection activeCell="B14" sqref="B14"/>
    </sheetView>
  </sheetViews>
  <sheetFormatPr baseColWidth="8" defaultColWidth="9" defaultRowHeight="14.4" outlineLevelRow="4"/>
  <cols>
    <col width="18" customWidth="1" style="1" min="1" max="1"/>
    <col width="90" customWidth="1" style="1" min="2" max="2"/>
  </cols>
  <sheetData>
    <row r="1" ht="22" customHeight="1" s="1">
      <c r="A1" s="2" t="inlineStr">
        <is>
          <t>项目</t>
        </is>
      </c>
      <c r="B1" s="3" t="inlineStr">
        <is>
          <t>说明</t>
        </is>
      </c>
    </row>
    <row r="2" ht="32" customHeight="1" s="1">
      <c r="A2" s="4" t="inlineStr">
        <is>
          <t>背景事实</t>
        </is>
      </c>
      <c r="B2" s="5" t="inlineStr">
        <is>
          <t>该门店位于乡镇，此前没有用 Excel 统计销量的习惯和先例，本表用于观察相对趋势与结构变化（环比、占比、品类分布）。</t>
        </is>
      </c>
    </row>
    <row r="3" ht="31" customHeight="1" s="1">
      <c r="A3" s="4" t="inlineStr">
        <is>
          <t>数据来源</t>
        </is>
      </c>
      <c r="B3" s="5" t="inlineStr">
        <is>
          <t>本表为该门店第一套标准化销量统计台账。受门店纸质账单保存周期限制，2025 年 1‑2 月原始纸质营业单据已无法调取；在店长许可与核实下，结合门店现场留存的营业碎片信息，按 15 天为一个统计周期，分 4 个周期还原重建 36 款饮品的销售数据。</t>
        </is>
      </c>
    </row>
    <row r="4" ht="58" customHeight="1" s="1">
      <c r="A4" s="4" t="inlineStr">
        <is>
          <t>统计周期</t>
        </is>
      </c>
      <c r="B4" s="5" t="inlineStr">
        <is>
          <t>每 15 天一个统计周期：1 月上半月（1.1–1.15）、1 月下半月（1.16–1.31）、2 月上半月（2.1–2.15）、2 月下半月（2.16–2.28）。</t>
        </is>
      </c>
    </row>
    <row r="5" ht="32" customHeight="1" s="1">
      <c r="A5" s="4" t="inlineStr">
        <is>
          <t>销量走势</t>
        </is>
      </c>
      <c r="B5" s="5" t="inlineStr">
        <is>
          <t>1 月上半月基础销售平稳，核心单品半月收入约 6000 元；1 月中旬海报宣发后各单品全线上涨，「茉上花开」成为爆款（单日峰值超 50 杯），半月收入接近 1 万元；2 月春节后整体小幅回落，2 月下旬收入约 8000 元，「茉上花开」仍维持高位。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2026-10-01T21:43:00Z</dcterms:created>
  <dcterms:modified xmlns:dcterms="http://purl.org/dc/terms/" xmlns:xsi="http://www.w3.org/2001/XMLSchema-instance" xsi:type="dcterms:W3CDTF">2026-10-06T09:50:41Z</dcterms:modified>
  <cp:lastModifiedBy>我心之人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572FF51F26A341839FC5B3663EAA63E1_12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